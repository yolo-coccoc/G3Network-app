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vao-ra Phase 1" sheetId="1" r:id="rId4"/>
    <sheet state="visible" name="Phase 2 - Tach ra" sheetId="2" r:id="rId5"/>
    <sheet state="visible" name="Dieu kien tien quyet" sheetId="3" r:id="rId6"/>
  </sheets>
  <definedNames>
    <definedName hidden="1" localSheetId="0" name="_xlnm._FilterDatabase">'Data vao-ra Phase 1'!$A$3:$L$142</definedName>
    <definedName hidden="1" localSheetId="1" name="_xlnm._FilterDatabase">'Phase 2 - Tach ra'!$A$3:$G$15</definedName>
    <definedName hidden="1" localSheetId="2" name="_xlnm._FilterDatabase">'Dieu kien tien quyet'!$A$3:$G$11</definedName>
  </definedNames>
  <calcPr/>
  <extLst>
    <ext uri="GoogleSheetsCustomDataVersion2">
      <go:sheetsCustomData xmlns:go="http://customooxmlschemas.google.com/" r:id="rId7" roundtripDataChecksum="NnQc5kwLi14TNJHOsdso62Hq2jWsYUrh0I1VvJuOgm0="/>
    </ext>
  </extLst>
</workbook>
</file>

<file path=xl/sharedStrings.xml><?xml version="1.0" encoding="utf-8"?>
<sst xmlns="http://schemas.openxmlformats.org/spreadsheetml/2006/main" count="1650" uniqueCount="956">
  <si>
    <t>HẠNG MỤC TÁCH KHỎI PHASE 1 — CHUYỂN SANG PHASE 2</t>
  </si>
  <si>
    <t>ĐIỀU KIỆN TIÊN QUYẾT &amp; VIỆC PHẢI CHỐT TRƯỚC SRS (đặc tả yêu cầu phần mềm)</t>
  </si>
  <si>
    <t>DANH MỤC DATA ĐẦU VÀO &amp; ĐẦU RA — APP G3 NETWORK PHASE 1 (Xe tải điện · Xe đầu kéo điện · Trụ sạc · Trạm sạc)</t>
  </si>
  <si>
    <t>Nhóm T = thuộc Transport Management System · Nhóm X = phân hệ xưởng/kho · Nhóm A = cần đủ dữ liệu lịch sử.</t>
  </si>
  <si>
    <t>Các việc KHÔNG tạo ra dữ liệu nhưng CHẶN nhiều mục trong danh mục Phase 1.</t>
  </si>
  <si>
    <t>#</t>
  </si>
  <si>
    <t>Mã</t>
  </si>
  <si>
    <t>Hạng mục</t>
  </si>
  <si>
    <t>Nội dung phải chốt</t>
  </si>
  <si>
    <t>Nhóm</t>
  </si>
  <si>
    <t>Đầu mối</t>
  </si>
  <si>
    <t>Ưu tiên</t>
  </si>
  <si>
    <t>Nội dung cần làm ở Phase 2</t>
  </si>
  <si>
    <t>Mốc thời gian</t>
  </si>
  <si>
    <t>Ý kiến gốc (người nêu)</t>
  </si>
  <si>
    <t>Ghi chú / Chặn hạng mục nào</t>
  </si>
  <si>
    <t>Lý do tách khỏi Phase 1</t>
  </si>
  <si>
    <t>Phụ thuộc / Ghi chú</t>
  </si>
  <si>
    <t>1</t>
  </si>
  <si>
    <t>Số mục ĐẦU VÀO:</t>
  </si>
  <si>
    <t>T1</t>
  </si>
  <si>
    <t>Phụ lục kỹ thuật NSX</t>
  </si>
  <si>
    <t>TMS — Lớp dữ liệu nền</t>
  </si>
  <si>
    <t>NSX cam kết bằng văn bản: công thức SOH (pack VÀ cell), định nghĩa 1 chu kỳ sạc–xả, danh sách đầy đủ trạng thái motor, BẢNG MÃ LỖI DTC kèm phân loại severity và hướng xử lý, danh sách tín hiệu cấp cell và tín hiệu ngoài pin được mở. ĐƯA VÀO ĐIỀU KIỆN HỢP ĐỒNG, không để ở mức trao đổi kỹ thuật.</t>
  </si>
  <si>
    <t>Lớp dữ liệu Đơn hàng &amp; Khách hàng (chủ hàng)</t>
  </si>
  <si>
    <t>Mua hàng + Kỹ thuật</t>
  </si>
  <si>
    <t>P0</t>
  </si>
  <si>
    <t>Thực thể Khách hàng · Đơn hàng · Chuyến hàng và liên kết trip ↔ vehicle ↔ driver ↔ shipment ↔ customer</t>
  </si>
  <si>
    <t>Khanh HS: 'GPS hiện tại mới biết xe ở đâu, chưa biết xe đang thực hiện đơn hàng nào cho khách hàng nào.' Sếp Minh: 'Dữ liệu lái xe báo cáo gửi về đơn vị điều hành phục vụ TMS tối ưu điều phối.'</t>
  </si>
  <si>
    <t>Trước khi ký hợp đồng thiết bị</t>
  </si>
  <si>
    <t>Phase 1 là phần mềm quản lý xe tải điện – xe đầu kéo điện – trụ sạc – trạm sạc. Lớp đơn hàng–khách hàng là nghiệp vụ TMS.</t>
  </si>
  <si>
    <t>Chặn: SOH cấp cell · Cảnh báo có severity · IoT ngoài pin · Bảo hành · Chẩn đoán lỗi</t>
  </si>
  <si>
    <t>Không có T1 thì T2–T5 đều không thực hiện được. Phase 1 đã dành sẵn khóa trip_id / shipment_id / customer_id.</t>
  </si>
  <si>
    <t>2</t>
  </si>
  <si>
    <t>Chủ quyền dữ liệu</t>
  </si>
  <si>
    <t>T2</t>
  </si>
  <si>
    <t>TMS — Tích hợp</t>
  </si>
  <si>
    <t>Lập bản đồ luồng dữ liệu T-Box/BMS; NSX cam kết VĂN BẢN về nơi lưu trữ và bên nhận; KIỂM CHỨNG BẰNG GIÁM SÁT LƯU LƯỢNG trong pilot; yêu cầu lưu trữ trong nước và quyền thu hồi.</t>
  </si>
  <si>
    <t>Pháp chế + An ninh</t>
  </si>
  <si>
    <t>Tích hợp GPS ↔ TMS và geo-fencing</t>
  </si>
  <si>
    <t>Trong pilot</t>
  </si>
  <si>
    <t>API/webhook hai chiều với TMS; vùng geo-fence và sự kiện vào/ra; trạng thái tác nghiệp chuyến (lấy cont rỗng, đến/rời nhà máy, đến cảng)</t>
  </si>
  <si>
    <t>Sếp Minh: 'Check xem data này có được gửi về TQ hay không?' — không dựa vào cam kết miệng của nhà cung cấp</t>
  </si>
  <si>
    <t>Sếp Minh: tích hợp GPS với TMS để báo cho khách các mốc lấy cont rỗng, đến/rời nhà máy, đến cảng. Loan WR1: giám sát trên một giao diện, khách truy vấn được GPS; tích hợp xong rồi mới làm geo-fencing và ước tính tọa độ điểm.</t>
  </si>
  <si>
    <t>Là chức năng của TMS, không thuộc quản trị xe – pin – trạm sạc.</t>
  </si>
  <si>
    <t>Phụ thuộc T1. NGUYÊN TẮC CẦN CHỐT SỚM: App G3 TÍCH HỢP TMS chứ không THAY THẾ TMS.</t>
  </si>
  <si>
    <t>3</t>
  </si>
  <si>
    <t>T3</t>
  </si>
  <si>
    <t>TMS — Điều phối</t>
  </si>
  <si>
    <t>Danh mục depot phục vụ điều phối</t>
  </si>
  <si>
    <t>Xác minh cảm biến tải trọng</t>
  </si>
  <si>
    <t>Mô hình điểm dịch vụ (POI) dùng chung: depot cắt kéo container, depot hãng tàu, depot ảo — tọa độ, dịch vụ, giờ hoạt động</t>
  </si>
  <si>
    <t>Sếp Minh: 'Ngoài danh mục trạm sạc, G3 cần bổ sung Danh mục các Depot hỗ trợ dịch vụ cắt kéo container.' Loan WR1: 'Chấm tọa độ các Depot hãng tàu và depot ảo → giúp lái xe và Điều phối lựa chọn linh hoạt điểm lấy/trả cont rỗng.'</t>
  </si>
  <si>
    <t>Phục vụ điều phối đơn hàng (TMS), không phục vụ vận hành xe–pin–sạc.</t>
  </si>
  <si>
    <t>LƯU Ý: các trường vận hành của TRẠM SẠC (tình trạng hoạt động thực tế, đơn vị quản lý, đầu mối sự cố) VẪN GIỮ Ở PHASE 1.</t>
  </si>
  <si>
    <t>Xác minh tín hiệu cảm biến tải trọng trên xe Sany/Tri-Ring CÓ XUẤT RA CAN BUS hay chỉ hiển thị trên táp-lô. Nếu chỉ hiển thị trên táp-lô thì phải đàm phán với NSX hoặc giữ khai báo app làm nguồn chính.</t>
  </si>
  <si>
    <t>Kỹ thuật</t>
  </si>
  <si>
    <t>P1</t>
  </si>
  <si>
    <t>Trước SRS</t>
  </si>
  <si>
    <t>Chặn: Tải trọng từ cảm biến · gCO₂e/tấn-km · Dự báo quãng đường theo tải</t>
  </si>
  <si>
    <t>4</t>
  </si>
  <si>
    <t>T4</t>
  </si>
  <si>
    <t>Tiêu chí chọn nhà cung cấp bản đồ</t>
  </si>
  <si>
    <t>TMS — Carbon</t>
  </si>
  <si>
    <t>Số mục ĐẦU RA:</t>
  </si>
  <si>
    <t>Truy vết carbon tới từng khách hàng (Scope 3 của chủ hàng)</t>
  </si>
  <si>
    <t>Đưa 'CÓ DỮ LIỆU ĐƯỜNG CẤM TẢI – CẤM GIỜ CỦA VIỆT NAM' thành tiêu chí BẮT BUỘC khi chọn nhà cung cấp bản đồ trong pilot (Google Maps / VietMap / Mapbox / bản đồ của Be).</t>
  </si>
  <si>
    <t>Đoạn đầu chuỗi Customer → Shipment → Trip; phân bổ phát thải theo chủ hàng; báo cáo Scope 3 audit-ready</t>
  </si>
  <si>
    <t>BA + Mua hàng</t>
  </si>
  <si>
    <t>Loan WR1: 'Chuyển Scope 1, 2 của Đơn vị VT thành dữ liệu Scope 3 của khách hàng. Chuỗi: Customer A → Shipment → Trip → Vehicle → T-Box → kWh → Charging Session → Electricity Source → Emission Factor → CO₂e.' Khanh HS cùng hướng.</t>
  </si>
  <si>
    <t>Trong pilot (Q5)</t>
  </si>
  <si>
    <t>Đoạn đầu chuỗi phụ thuộc lớp đơn hàng–khách hàng (T1).</t>
  </si>
  <si>
    <t>Chặn: Cảnh báo đường cấm tải &amp; khung giờ cấm (P1.1)</t>
  </si>
  <si>
    <t>Phase 1 ĐÃ LÀM ĐƯỢC đoạn sau (Vehicle → CO₂e): đã có kWh phiên sạc, cơ cấu nguồn phát và EF có version.</t>
  </si>
  <si>
    <t>5</t>
  </si>
  <si>
    <t>T5</t>
  </si>
  <si>
    <t>Phỏng vấn người dùng thực tế</t>
  </si>
  <si>
    <t>TMS — Ranh giới sản phẩm</t>
  </si>
  <si>
    <t>Persona chủ hàng &amp; nhóm đầu ra cho chủ hàng</t>
  </si>
  <si>
    <t>Nhóm người nhận 'Chủ hàng': nhận dữ liệu qua API và chứng thư giảm phát thải</t>
  </si>
  <si>
    <t>Phỏng vấn 8–12 tài xế xe điện và 3–5 điều vận TRƯỚC KHI CHỐT SRS. Dùng kết quả để chốt: ngưỡng cảnh báo pin 30/20/10%, nội dung màn hình chính, cách hiển thị cảnh báo range-aware, thao tác ≤3 chạm.</t>
  </si>
  <si>
    <t>BA</t>
  </si>
  <si>
    <t>Sếp Minh (phản biện): 'Khách hàng của App là các Cty VT đang sử dụng xe điện. Nếu khách hàng end-user thì họ là khách hàng của các đơn vị VT. Đơn vị VT sẽ tương tác với khách hàng của họ qua TMS của họ.'</t>
  </si>
  <si>
    <t>Phase 1 chỉ giữ 3 nhóm người nhận: Tài xế · Doanh nghiệp vận tải · Vận hành nền tảng.</t>
  </si>
  <si>
    <t>Phụ thuộc T1 và T4.</t>
  </si>
  <si>
    <t>Sếp Minh: 'Nên phỏng vấn người đang dùng xe điện thì thông tin phản hồi sẽ chính xác.' Chi phí thấp, tác động trực tiếp lên chất lượng đặc tả.</t>
  </si>
  <si>
    <t>T6</t>
  </si>
  <si>
    <t>TMS — Đầu ra chuyển đi</t>
  </si>
  <si>
    <t>ĐẦU RA #57 cũ — Cường độ phát thải theo KHÁCH HÀNG</t>
  </si>
  <si>
    <t>6</t>
  </si>
  <si>
    <t>Chiều phân tích gCO₂e/tấn-km theo từng khách hàng (chủ hàng)</t>
  </si>
  <si>
    <t>Có trong danh mục Phase 1 bản cũ (ĐẦU RA #57).</t>
  </si>
  <si>
    <t>Chốt ranh giới sản phẩm với TMS</t>
  </si>
  <si>
    <t>Chiều 'theo khách hàng' phụ thuộc lớp đơn hàng–khách hàng. Tránh cam kết đầu ra không có dữ liệu hỗ trợ.</t>
  </si>
  <si>
    <t>Phần theo XE và theo TUYẾN VẪN GIỮ Ở PHASE 1 (đã thu hẹp phạm vi).</t>
  </si>
  <si>
    <t>Chốt nguyên tắc: App G3 TÍCH HỢP TMS chứ KHÔNG THAY THẾ TMS. Phase 1 chỉ phục vụ 3 nhóm: Tài xế · Doanh nghiệp vận tải · Vận hành nền tảng.</t>
  </si>
  <si>
    <t>Ban dự án</t>
  </si>
  <si>
    <t>T7</t>
  </si>
  <si>
    <t>Sếp Minh (phản biện định nghĩa 'khách hàng'). Quyết định này là cơ sở của toàn bộ việc tách Phase 2.</t>
  </si>
  <si>
    <t>7</t>
  </si>
  <si>
    <t>Chốt gói sản phẩm Cơ bản / Nâng cao</t>
  </si>
  <si>
    <t>Gói CƠ BẢN: camera giám sát người lái hợp quy (nghĩa vụ pháp lý NĐ 319/2026) + toàn bộ quản trị xe–pin–sạc. Gói NÂNG CAO: cảnh báo ADAS trong cabin, chỉ áp dụng cho xe có ADAS.</t>
  </si>
  <si>
    <t>ĐẦU RA #58 cũ — Chứng thư giảm phát thải cho chủ hàng</t>
  </si>
  <si>
    <t>Chứng thư/báo cáo PDF có mã tra cứu, xác nhận lượng CO₂ của các chuyến hàng đã thực hiện, phục vụ báo cáo Scope 3 của khách hàng</t>
  </si>
  <si>
    <t>Khánh WR1: ADAS là option tiện ích cộng thêm, không cần trong gói cơ bản bắt buộc khi đầu tư ban đầu.</t>
  </si>
  <si>
    <t>Có trong danh mục Phase 1 bản cũ (ĐẦU RA #58).</t>
  </si>
  <si>
    <t>Tổng số mục:</t>
  </si>
  <si>
    <t>8</t>
  </si>
  <si>
    <t>Phụ thuộc lớp đơn hàng–khách hàng; người nhận là chủ hàng — nhóm đã chuyển sang Phase 2 (T5).</t>
  </si>
  <si>
    <t>Phụ thuộc T1, T4, T5.</t>
  </si>
  <si>
    <t>T8</t>
  </si>
  <si>
    <t>TMS — Luồng dữ liệu</t>
  </si>
  <si>
    <t>Dữ liệu lái xe báo cáo gửi về đơn vị điều hành</t>
  </si>
  <si>
    <t>Luồng báo cáo tác nghiệp từ tài xế về đơn vị điều hành để TMS tối ưu điều phối</t>
  </si>
  <si>
    <t>Sếp Minh (ghi trên mục 'Kết quả thanh toán'): 'Dữ liệu của lái xe báo cáo gửi về cho đơn vị điều hành phục vụ cho TMS tối ưu điều phối của đơn vị.'</t>
  </si>
  <si>
    <t>Là luồng nghiệp vụ điều phối của TMS.</t>
  </si>
  <si>
    <t>Phụ thuộc T1, T2.</t>
  </si>
  <si>
    <t>X1</t>
  </si>
  <si>
    <t>Dành sẵn khóa tích hợp Phase 2</t>
  </si>
  <si>
    <t>Phân hệ xưởng — P2</t>
  </si>
  <si>
    <t>Báo cáo tổng hợp nhập – xuất – tồn vật tư, phụ tùng</t>
  </si>
  <si>
    <t>Ngay từ Phase 1: khai báo trip_id, shipment_id, customer_id dạng TRƯỜNG TÙY CHỌN trong schema; giữ bản ghi phiên sạc BẤT BIẾN; hệ số phát thải CÓ VERSION.</t>
  </si>
  <si>
    <t>Kiểm soát toàn bộ biến động kho theo kỳ và đối chiếu giữa số lượng thực tế với sổ theo dõi</t>
  </si>
  <si>
    <t>Kiến trúc</t>
  </si>
  <si>
    <t>Hùng Võ (đề xuất bổ sung).</t>
  </si>
  <si>
    <t>Khi thiết kế schema</t>
  </si>
  <si>
    <t>KHÔNG phải TMS, nhưng là phân hệ kho vật tư — nghiệp vụ mới, tách ra để không phình Phase 1.</t>
  </si>
  <si>
    <t>Nếu không làm, sang Phase 2 sẽ KHÔNG THỂ tính lại phát thải theo khách hàng cho dữ liệu quá khứ.</t>
  </si>
  <si>
    <t>Phụ thuộc phân hệ hồ sơ sửa chữa – bảo dưỡng (đã đưa vào P1.5).</t>
  </si>
  <si>
    <t>X2</t>
  </si>
  <si>
    <t>Báo cáo tổng doanh thu dịch vụ của xưởng sửa chữa</t>
  </si>
  <si>
    <t>Bổ sung mới:</t>
  </si>
  <si>
    <t>Tổng doanh thu xưởng theo tháng/năm và nguồn hình thành doanh thu</t>
  </si>
  <si>
    <t>Nghiệp vụ kinh doanh xưởng, ngoài phạm vi quản trị xe–pin–trạm sạc của Phase 1.</t>
  </si>
  <si>
    <t>Phụ thuộc X1 và hồ sơ sửa chữa ở P1.5.</t>
  </si>
  <si>
    <t>X3</t>
  </si>
  <si>
    <t>Báo cáo chênh lệch giá vật tư, phụ tùng cấp cho khách hàng</t>
  </si>
  <si>
    <t>Phần chênh lệch giữa giá bán và giá vốn vật tư, phụ tùng</t>
  </si>
  <si>
    <t>Nghiệp vụ kinh doanh xưởng, ngoài phạm vi Phase 1.</t>
  </si>
  <si>
    <t>Phụ thuộc X1.</t>
  </si>
  <si>
    <t>A1</t>
  </si>
  <si>
    <t>AI — giai đoạn sau</t>
  </si>
  <si>
    <t>Phân tích nguyên nhân tiêu thụ điện bất thường bằng AI</t>
  </si>
  <si>
    <t>Quy nguyên nhân mức tiêu thụ cao bất thường theo thực tế di chuyển và thời gian sử dụng thiết bị điện</t>
  </si>
  <si>
    <t>Khánh WR1: 'Cảnh báo mức tiêu thụ điện cao hơn mức trung bình và phân tích nguyên nhân... (AI).'</t>
  </si>
  <si>
    <t>Cần đủ dữ liệu lịch sử mới huấn luyện được. Phase 1 (P1.1) đã làm phần cảnh báo theo ngưỡng thống kê.</t>
  </si>
  <si>
    <t>Phụ thuộc: ≥6–12 tháng dữ liệu từ mục 'Cảnh báo tiêu thụ điện bất thường' (P1.1).</t>
  </si>
  <si>
    <t>STT</t>
  </si>
  <si>
    <t>Loại</t>
  </si>
  <si>
    <t>Nhóm / Người nhận</t>
  </si>
  <si>
    <t>Tên dữ liệu</t>
  </si>
  <si>
    <t>Trường &amp; nội dung chính</t>
  </si>
  <si>
    <t>Định dạng dữ liệu &amp; đơn vị</t>
  </si>
  <si>
    <t>Nguồn</t>
  </si>
  <si>
    <t>Tần suất cập nhật</t>
  </si>
  <si>
    <t>Phạm vi</t>
  </si>
  <si>
    <t>Trạng thái so với bản cũ</t>
  </si>
  <si>
    <t>Nội dung tiếp thu góp ý</t>
  </si>
  <si>
    <t>Đầu mối / Ưu tiên</t>
  </si>
  <si>
    <t>ĐẦU VÀO</t>
  </si>
  <si>
    <t>A1. Telematics xe &amp; pin</t>
  </si>
  <si>
    <t>SOC — mức pin còn lại</t>
  </si>
  <si>
    <t>Phần trăm dung lượng còn lại của pack pin</t>
  </si>
  <si>
    <r>
      <rPr>
        <rFont val="Arial"/>
        <color rgb="FF1A1A1A"/>
        <sz val="9.0"/>
      </rPr>
      <t xml:space="preserve">Số thực 0–100, đơn vị %
</t>
    </r>
    <r>
      <rPr>
        <rFont val="Arial"/>
        <color rgb="FFFF0000"/>
        <sz val="9.0"/>
      </rPr>
      <t>Số kWh - liên quan đến phương án kinh doanh - giá điện</t>
    </r>
  </si>
  <si>
    <t>Xe Tri-Ring: BMS → CAN bus → IoT gateway → MQTT/mTLS</t>
  </si>
  <si>
    <t>≤30s (p95)</t>
  </si>
  <si>
    <t>P1.0</t>
  </si>
  <si>
    <t>Giữ nguyên</t>
  </si>
  <si>
    <t>Sếp Minh: ngưỡng 30/20/10% chốt lại sau khi phỏng vấn tài xế.</t>
  </si>
  <si>
    <t>Kỹ thuật / P0</t>
  </si>
  <si>
    <t>Tốc độ tiêu thụ pin tức thời</t>
  </si>
  <si>
    <t>Mức tiêu hao năng lượng theo thời điểm, làm đầu vào dự báo thời gian/quãng đường còn lại</t>
  </si>
  <si>
    <t>Số thực — kWh/h hoặc %/h; lấy mẫu ≤30s</t>
  </si>
  <si>
    <t>BMS + CAN bus (dòng xả × điện áp) đối chiếu odometer</t>
  </si>
  <si>
    <t>≤30s</t>
  </si>
  <si>
    <t>BỔ SUNG MỚI</t>
  </si>
  <si>
    <t>Khánh WR1: bổ sung tín hiệu tiêu thụ tức thời — bản cũ chỉ có SOC tĩnh.</t>
  </si>
  <si>
    <t>Kỹ thuật + BA / P1</t>
  </si>
  <si>
    <t>Thời gian &amp; quãng đường sử dụng còn lại ước tính</t>
  </si>
  <si>
    <t>Ước tính thời gian chạy còn lại và km còn đi được theo SOC hiện tại, tải trọng, địa hình, nhiệt độ</t>
  </si>
  <si>
    <t>Số nguyên phút; số nguyên km (kèm khoảng tin cậy)</t>
  </si>
  <si>
    <t>Mô hình dự báo tiêu hao (F-A7) + tốc độ tiêu thụ tức thời + tải trọng</t>
  </si>
  <si>
    <t>Khánh WR1: trả lời câu hỏi 'còn chạy được bao lâu' của tài xế.</t>
  </si>
  <si>
    <t>SOH — sức khỏe pin (cấp pack VÀ cấp cell)</t>
  </si>
  <si>
    <t>Mức suy giảm dung lượng của pack; SOH và điện áp theo từng cell để xác định cell hỏng đơn lẻ</t>
  </si>
  <si>
    <t>Số thực 0–100 (%) cho pack; mảng giá trị theo cell_id</t>
  </si>
  <si>
    <t>BMS xe Tri-Ring (MQTT) — YÊU CẦU NSX mở tín hiệu cấp cell</t>
  </si>
  <si>
    <t>≥1 lần/ngày (pack); ≥1 lần/ngày (cell)</t>
  </si>
  <si>
    <t>CẬP NHẬT</t>
  </si>
  <si>
    <t>Khánh WR1: đánh giá theo từng cell để thay cell thay vì thay cả pack. Hùng Võ: chốt công thức SOH với NSX.</t>
  </si>
  <si>
    <t>Số chu kỳ sạc–xả</t>
  </si>
  <si>
    <r>
      <rPr>
        <rFont val="Arial"/>
        <color rgb="FF1A1A1A"/>
        <sz val="9.0"/>
      </rPr>
      <t xml:space="preserve">Đếm chu kỳ tích lũy của pack pin theo định nghĩa đã chốt với NSX
</t>
    </r>
    <r>
      <rPr>
        <rFont val="Arial"/>
        <color rgb="FFFF0000"/>
        <sz val="9.0"/>
      </rPr>
      <t>4000 full circle, làm rõ với Tri-ring</t>
    </r>
  </si>
  <si>
    <t>Số nguyên (lần)</t>
  </si>
  <si>
    <t>BMS xe Tri-Ring (MQTT)</t>
  </si>
  <si>
    <t>≥1 lần/ngày</t>
  </si>
  <si>
    <t>Hùng Võ: chốt định nghĩa 1 chu kỳ với NSX (xem mục Phụ lục kỹ thuật NSX).</t>
  </si>
  <si>
    <t>Mua hàng + Kỹ thuật / P0</t>
  </si>
  <si>
    <t>Điện áp &amp; dòng sạc–xả pin (cấp pack)</t>
  </si>
  <si>
    <r>
      <rPr>
        <rFont val="Arial"/>
        <color rgb="FF1A1A1A"/>
        <sz val="9.0"/>
      </rPr>
      <t xml:space="preserve">Điện áp pack, dòng nạp/xả tức thời
</t>
    </r>
    <r>
      <rPr>
        <rFont val="Arial"/>
        <color rgb="FFFF0000"/>
        <sz val="9.0"/>
      </rPr>
      <t>Theo dõi dòng điện</t>
    </r>
  </si>
  <si>
    <r>
      <rPr>
        <rFont val="Arial"/>
        <color rgb="FF1A1A1A"/>
        <sz val="9.0"/>
      </rPr>
      <t xml:space="preserve">Số thực — V, A (hoặc kW)
</t>
    </r>
    <r>
      <rPr>
        <rFont val="Arial"/>
        <color rgb="FFFF0000"/>
        <sz val="9.0"/>
      </rPr>
      <t>Xác định lại thông số</t>
    </r>
  </si>
  <si>
    <t>Kỹ thuật / P1</t>
  </si>
  <si>
    <t>Battery Safety — tín hiệu an toàn pin</t>
  </si>
  <si>
    <r>
      <rPr>
        <rFont val="Arial"/>
        <color rgb="FF1A1A1A"/>
        <sz val="9.0"/>
      </rPr>
      <t xml:space="preserve">Cell voltage, cell imbalance, insulation resistance, trạng thái contactor, over/under voltage, over-temperature
</t>
    </r>
    <r>
      <rPr>
        <rFont val="Arial"/>
        <color rgb="FFFF0000"/>
        <sz val="9.0"/>
      </rPr>
      <t>Bảng đầy đủ chi tiết các dữ liệu - đơn vị đo này</t>
    </r>
  </si>
  <si>
    <t>Số thực (V, MΩ, °C) + enum trạng thái + mã cảnh báo</t>
  </si>
  <si>
    <t>BMS xe Tri-Ring (MQTT) — YÊU CẦU NSX mở tín hiệu</t>
  </si>
  <si>
    <t>≤30s; realtime khi vượt ngưỡng</t>
  </si>
  <si>
    <t>Loan WR1: tách Battery Safety thành mục riêng kèm ngưỡng cảnh báo.</t>
  </si>
  <si>
    <t>Nhiệt độ pin</t>
  </si>
  <si>
    <r>
      <rPr>
        <rFont val="Arial"/>
        <color rgb="FF1A1A1A"/>
        <sz val="9.0"/>
      </rPr>
      <t xml:space="preserve">Nhiệt độ cell/module, phục vụ cảnh báo an toàn
</t>
    </r>
    <r>
      <rPr>
        <rFont val="Arial"/>
        <color rgb="FFFF0000"/>
        <sz val="9.0"/>
      </rPr>
      <t>Bổ sung cảnh báo về phần làm mát</t>
    </r>
  </si>
  <si>
    <t>Số thực, đơn vị °C</t>
  </si>
  <si>
    <t>Hùng Võ: bổ sung ngưỡng cảnh báo và can thiệp.</t>
  </si>
  <si>
    <t>Trạng thái motor</t>
  </si>
  <si>
    <t>Trạng thái vận hành &amp; lỗi hệ truyền động theo danh sách chuẩn hóa của NSX</t>
  </si>
  <si>
    <t>Enum/text chuẩn hóa</t>
  </si>
  <si>
    <t>Telematics xe (CAN bus)</t>
  </si>
  <si>
    <t>Hùng Võ: chốt danh sách trạng thái với NSX.</t>
  </si>
  <si>
    <t>Tín hiệu IoT các thiết bị ngoài pin</t>
  </si>
  <si>
    <r>
      <rPr>
        <rFont val="Arial"/>
        <color rgb="FF1A1A1A"/>
        <sz val="9.0"/>
      </rPr>
      <t xml:space="preserve">Động cơ điện, ắc quy phụ, bo mạch điều khiển, phanh, lốp (TPMS), đèn, cửa, điều hòa — trạng thái và bất thường
</t>
    </r>
    <r>
      <rPr>
        <rFont val="Arial"/>
        <color rgb="FFFF0000"/>
        <sz val="9.0"/>
      </rPr>
      <t>Bảng đầy đủ chi tiết các dữ liệu - đơn vị đo này</t>
    </r>
  </si>
  <si>
    <t>Enum trạng thái + mã lỗi + số thực (áp suất lốp, nhiệt độ…)</t>
  </si>
  <si>
    <t>CAN bus + ECU xe Tri-Ring — PHỤ THUỘC NSX có mở tín hiệu ngoài pin hay không</t>
  </si>
  <si>
    <t>≤30s; theo sự kiện khi bất thường</t>
  </si>
  <si>
    <t>Khánh WR1: mở rộng giám sát sang động cơ, ắc quy, bo mạch, phanh, lốp, đèn, điều hòa. Phụ thuộc NSX mở tín hiệu.</t>
  </si>
  <si>
    <t>Thời gian hoạt động của phụ tải điện</t>
  </si>
  <si>
    <r>
      <rPr>
        <rFont val="Arial"/>
        <color rgb="FF1A1A1A"/>
        <sz val="9.0"/>
      </rPr>
      <t xml:space="preserve">Thời lượng bật/tắt điều hòa, đèn, sấy, thiết bị phụ — để quy nguyên nhân tiêu thụ điện cao
</t>
    </r>
    <r>
      <rPr>
        <rFont val="Arial"/>
        <color rgb="FFFF0000"/>
        <sz val="9.0"/>
      </rPr>
      <t>Bảng đầy đủ chi tiết các dữ liệu - đơn vị đo này</t>
    </r>
  </si>
  <si>
    <t>Số phút theo từng phụ tải + timestamp</t>
  </si>
  <si>
    <t>CAN bus (body control module)</t>
  </si>
  <si>
    <t>≤5 phút (tổng hợp theo chuyến)</t>
  </si>
  <si>
    <t>P1.1</t>
  </si>
  <si>
    <t>Khánh WR1: cần để quy nguyên nhân tiêu thụ điện cao bất thường.</t>
  </si>
  <si>
    <t>Kỹ thuật + Data / P2</t>
  </si>
  <si>
    <t>Tốc độ &amp; gia tốc</t>
  </si>
  <si>
    <r>
      <rPr>
        <rFont val="Arial"/>
        <color rgb="FF1A1A1A"/>
        <sz val="9.0"/>
      </rPr>
      <t xml:space="preserve">Tốc độ tức thời; gia tốc/giảm tốc phục vụ chấm điểm lái
</t>
    </r>
    <r>
      <rPr>
        <rFont val="Arial"/>
        <color rgb="FFFF0000"/>
        <sz val="9.0"/>
      </rPr>
      <t>(xác định gia tốc hợp lý/không an toàn)</t>
    </r>
  </si>
  <si>
    <t>Số nguyên km/h; số thực m/s²</t>
  </si>
  <si>
    <t>CAN bus + GPS (KHÔNG cần thiết bị mới)</t>
  </si>
  <si>
    <t>≤30s; sự kiện phanh/tăng tốc gấp</t>
  </si>
  <si>
    <t>Odometer — số km lũy kế</t>
  </si>
  <si>
    <r>
      <rPr>
        <rFont val="Arial"/>
        <color rgb="FF1A1A1A"/>
        <sz val="9.0"/>
      </rPr>
      <t xml:space="preserve">Quãng đường tích lũy của xe; quãng đường ước tính còn lại; mức tiêu thụ năng lượng và năng lượng tái tạo thu hồi
</t>
    </r>
    <r>
      <rPr>
        <rFont val="Arial"/>
        <color rgb="FFFF0000"/>
        <sz val="9.0"/>
      </rPr>
      <t>Bảng đầy đủ chi tiết các dữ liệu - đơn vị đo này</t>
    </r>
  </si>
  <si>
    <t>Số nguyên km; số thực kWh</t>
  </si>
  <si>
    <t>CAN bus xe Tri-Ring</t>
  </si>
  <si>
    <t>Loan WR1: bổ sung quãng đường ước tính và năng lượng tái sinh.</t>
  </si>
  <si>
    <t>Vị trí GPS</t>
  </si>
  <si>
    <t>Tọa độ, hướng di chuyển của xe. Dành sẵn trường tùy chọn trip_id để Phase 2 gắn được chuyến hàng</t>
  </si>
  <si>
    <t>Decimal degrees WGS84 (6 số lẻ), lat/lon + trip_id (nullable)</t>
  </si>
  <si>
    <t>GPS trên thiết bị telematics</t>
  </si>
  <si>
    <t>Khanh HS + Loan WR1: phần gắn đơn hàng, TMS và geo-fencing → Phase 2. Phase 1 chỉ dành sẵn trip_id.</t>
  </si>
  <si>
    <t>Trạng thái vận hành xe</t>
  </si>
  <si>
    <r>
      <rPr>
        <rFont val="Arial"/>
        <color rgb="FF1A1A1A"/>
        <sz val="9.0"/>
      </rPr>
      <t xml:space="preserve">Bật/tắt nguồn, đang lái, đang đỗ, đang sạc, cấp số, trạng thái phanh, vị trí chân ga
</t>
    </r>
    <r>
      <rPr>
        <rFont val="Arial"/>
        <color rgb="FFFF0000"/>
        <sz val="9.0"/>
      </rPr>
      <t>Bảng đầy đủ chi tiết các dữ liệu - đơn vị đo này</t>
    </r>
  </si>
  <si>
    <t>Enum chuẩn hóa + số thực (% chân ga)</t>
  </si>
  <si>
    <t>Loan WR1: bổ sung bật/tắt, đang lái, đang đỗ, đang sạc, cấp số, phanh, chân ga.</t>
  </si>
  <si>
    <t>Mã lỗi (DTC) kèm mức nghiêm trọng</t>
  </si>
  <si>
    <r>
      <rPr>
        <rFont val="Arial"/>
        <color rgb="FF1A1A1A"/>
        <sz val="9.0"/>
      </rPr>
      <t xml:space="preserve">Mã lỗi BMS/ECU + mô tả + PHÂN LOẠI SEVERITY + kết luận 'xe có tiếp tục di chuyển được không' + hướng xử lý
</t>
    </r>
    <r>
      <rPr>
        <rFont val="Arial"/>
        <color rgb="FFFF0000"/>
        <sz val="9.0"/>
      </rPr>
      <t>Hỏi bảng mã Tri-ring</t>
    </r>
  </si>
  <si>
    <t>Chuỗi mã chuẩn + text + enum severity (Nguy cấp/Nặng/Nhẹ/Thông tin) + cờ drivable</t>
  </si>
  <si>
    <t>BMS/ECU xe Tri-Ring, ánh xạ theo bảng mã lỗi NSX</t>
  </si>
  <si>
    <t>Theo sự kiện (realtime)</t>
  </si>
  <si>
    <t>Hùng Võ + Khanh HS: NSX cấp đủ bảng mã lỗi. Khánh WR1: kèm severity và kết luận xe có chạy tiếp được không.</t>
  </si>
  <si>
    <t>Timestamp &amp; schema_version</t>
  </si>
  <si>
    <t>Dấu thời gian thiết bị và phiên bản cấu trúc bản ghi</t>
  </si>
  <si>
    <t>ISO 8601 (UTC+7); semver</t>
  </si>
  <si>
    <t>Thiết bị telematics (mỗi bản ghi)</t>
  </si>
  <si>
    <t>Theo từng bản ghi</t>
  </si>
  <si>
    <t>Tải trọng &amp; trạng thái chuyến</t>
  </si>
  <si>
    <r>
      <rPr>
        <rFont val="Arial"/>
        <color rgb="FF1A1A1A"/>
        <sz val="9.0"/>
      </rPr>
      <t xml:space="preserve">Có hàng / chạy rỗng; khối lượng hàng kéo theo. NGUỒN ƯU TIÊN: cảm biến tải trọng trên xe; khai báo trên app chỉ là dự phòng
</t>
    </r>
    <r>
      <rPr>
        <rFont val="Arial"/>
        <color rgb="FFFF0000"/>
        <sz val="9.0"/>
      </rPr>
      <t>Tham khảo VietMap, thêm được khối, IoT cont lạnh</t>
    </r>
  </si>
  <si>
    <t>Enum (có hàng/rỗng) + số thực (tấn) + cờ nguồn (sensor/manual)</t>
  </si>
  <si>
    <t>1) Cảm biến tải trọng trên xe (CAN bus) → 2) Khai báo tài xế–điều vận trên app (dự phòng) → 3) Suy luận từ kWh/km</t>
  </si>
  <si>
    <t>≤30s (cảm biến) / mỗi chuyến (khai báo)</t>
  </si>
  <si>
    <t>Hùng Võ: xe Sany có sẵn cảm biến tải trọng → đảo nguồn, khai báo app thành dự phòng. Cần xác minh CAN bus.</t>
  </si>
  <si>
    <t>A2. Thiết bị telematics</t>
  </si>
  <si>
    <t>Định danh thiết bị</t>
  </si>
  <si>
    <t>device_id gắn với VIN khi bàn giao xe</t>
  </si>
  <si>
    <t>Chuỗi ID + VIN (17 ký tự)</t>
  </si>
  <si>
    <t>Quy trình provisioning khi bàn giao</t>
  </si>
  <si>
    <t>Khi bàn giao / thay thiết bị</t>
  </si>
  <si>
    <t>Phiên bản firmware</t>
  </si>
  <si>
    <t>Firmware đang chạy trên thiết bị</t>
  </si>
  <si>
    <t>Semver (vd 1.4.2)</t>
  </si>
  <si>
    <t>Heartbeat thiết bị</t>
  </si>
  <si>
    <t>Sức khỏe thiết bị telematics</t>
  </si>
  <si>
    <r>
      <rPr>
        <rFont val="Arial"/>
        <color rgb="FF1A1A1A"/>
        <sz val="9.0"/>
      </rPr>
      <t xml:space="preserve">SIM/ICCID &amp; trạng thái data, IMEI, eSIM, nguồn điện cấp, chất lượng kết nối, dung lượng bộ nhớ, trạng thái GNSS
</t>
    </r>
    <r>
      <rPr>
        <rFont val="Arial"/>
        <color rgb="FFFF0000"/>
        <sz val="9.0"/>
      </rPr>
      <t>Bảng đầy đủ chi tiết các dữ liệu - đơn vị đo này</t>
    </r>
  </si>
  <si>
    <t>Chuỗi ICCID/IMEI + enum trạng thái + số thực (%, dBm)</t>
  </si>
  <si>
    <t>Heartbeat thiết bị + nhà mạng</t>
  </si>
  <si>
    <t>Loan WR1: thêm nguồn điện, kết nối, bộ nhớ, GNSS, IMEI, eSIM.</t>
  </si>
  <si>
    <t>last_seen &amp; trạng thái nguồn</t>
  </si>
  <si>
    <t>Lần cuối online; dấu hiệu mất nguồn/tháo thiết bị (tamper)</t>
  </si>
  <si>
    <t>Datetime + enum (OK/mất nguồn/mất sóng)</t>
  </si>
  <si>
    <t>≤5 phút</t>
  </si>
  <si>
    <t>Chứng chỉ định danh thiết bị</t>
  </si>
  <si>
    <t>Chứng chỉ/token duy nhất, thu hồi được</t>
  </si>
  <si>
    <t>Chứng chỉ X.509 (mTLS)</t>
  </si>
  <si>
    <t>Hệ quản lý khóa &amp; provisioning</t>
  </si>
  <si>
    <t>Khi cấp / thu hồi</t>
  </si>
  <si>
    <t>An ninh / P1</t>
  </si>
  <si>
    <t>Bản đồ luồng dữ liệu T-Box / BMS</t>
  </si>
  <si>
    <t>Dữ liệu nào rời khỏi xe, đi tới máy chủ nào, đặt ở quốc gia nào, bên thứ ba nào nhận được; cam kết văn bản của NSX; quyền thu hồi</t>
  </si>
  <si>
    <t>Sơ đồ luồng + danh sách endpoint/IP/domain + văn bản cam kết NSX + log lưu lượng</t>
  </si>
  <si>
    <t>Giám sát lưu lượng mạng trong pilot + cam kết hợp đồng NSX (KHÔNG dựa vào cam kết miệng)</t>
  </si>
  <si>
    <t>Khi thiết lập; giám sát liên tục trong pilot</t>
  </si>
  <si>
    <t>Sếp Minh: kiểm tra dữ liệu có gửi ra nước ngoài không — phải kiểm chứng kỹ thuật, không tin cam kết miệng.</t>
  </si>
  <si>
    <t>Pháp chế + An ninh / P0</t>
  </si>
  <si>
    <t>A3. Trạm sạc &amp; phiên sạc</t>
  </si>
  <si>
    <t>Danh mục trạm sạc</t>
  </si>
  <si>
    <r>
      <rPr>
        <rFont val="Arial"/>
        <color rgb="FF1A1A1A"/>
        <sz val="9.0"/>
      </rPr>
      <t xml:space="preserve">station_id, GPS, khu vực, công suất, số trụ, chuẩn CCS2, giờ hoạt động, trạng thái bảo trì, TÌNH TRẠNG HOẠT ĐỘNG THỰC TẾ, đơn vị quản lý, đầu mối xử lý sự cố (tên–SĐT–SLA)
</t>
    </r>
    <r>
      <rPr>
        <rFont val="Arial"/>
        <color rgb="FFFF0000"/>
        <sz val="9.0"/>
      </rPr>
      <t>Bảng đầy đủ chi tiết các dữ liệu - đơn vị đo này.
Định nghĩa trạm sạc trên app</t>
    </r>
  </si>
  <si>
    <t>Bản ghi CRUD (quan hệ) + tọa độ</t>
  </si>
  <si>
    <t>G3 Energy nhập trên portal quản trị</t>
  </si>
  <si>
    <t>Khi thay đổi; tình trạng hoạt động ≤5 phút</t>
  </si>
  <si>
    <t>Hùng Võ: thêm tình trạng hoạt động, đơn vị quản lý, đầu mối sự cố. Depot (Sếp Minh, Loan WR1) → Phase 2.</t>
  </si>
  <si>
    <t>G3 Energy + BA / P1</t>
  </si>
  <si>
    <t>Trạng thái trụ/súng realtime</t>
  </si>
  <si>
    <t>connector_id, trạng thái, công suất khả dụng</t>
  </si>
  <si>
    <t>Enum: Available / Charging / Faulted</t>
  </si>
  <si>
    <t>Trạm sạc G3 Energy → OCPP 1.6J (CSMS)</t>
  </si>
  <si>
    <t>G3 Energy / P0</t>
  </si>
  <si>
    <t>Bản ghi phiên sạc</t>
  </si>
  <si>
    <r>
      <rPr>
        <rFont val="Arial"/>
        <color rgb="FF1A1A1A"/>
        <sz val="9.0"/>
      </rPr>
      <t xml:space="preserve">session_id, vehicle_id, station_id, connector_id, thời gian bắt đầu–kết thúc, kWh, SOC đầu–cuối, công suất, chi phí. Dành sẵn trường tùy chọn trip_id / shipment_id / customer_id
</t>
    </r>
    <r>
      <rPr>
        <rFont val="Arial"/>
        <color rgb="FFFF0000"/>
        <sz val="9.0"/>
      </rPr>
      <t>Bảng đầy đủ chi tiết các dữ liệu - đơn vị đo này</t>
    </r>
  </si>
  <si>
    <t>Bản ghi BẤT BIẾN (append-only); kWh số thực; VNĐ số nguyên</t>
  </si>
  <si>
    <t>OCPP MeterValues + đối chiếu telematics xe</t>
  </si>
  <si>
    <t>Realtime trong phiên + chốt khi kết thúc</t>
  </si>
  <si>
    <t>Giữ bản ghi bất biến và dành sẵn trip_id / shipment_id / customer_id cho Phase 2.</t>
  </si>
  <si>
    <t>Thời lượng phiên sạc trung bình theo trụ &amp; công suất</t>
  </si>
  <si>
    <r>
      <rPr>
        <rFont val="Arial"/>
        <color rgb="FF1A1A1A"/>
        <sz val="9.0"/>
      </rPr>
      <t xml:space="preserve">Thời lượng phiên trung vị/p90 theo từng trụ, từng mức công suất, từng khung giờ — làm đầu vào tính thời gian chờ
</t>
    </r>
    <r>
      <rPr>
        <rFont val="Arial"/>
        <color rgb="FFFF0000"/>
        <sz val="9.0"/>
      </rPr>
      <t>Có thể không cần số ước tính trung bình (hoặc chỉ cần làm cho xe ngoài)</t>
    </r>
  </si>
  <si>
    <t>Số phút (trung vị, p90) theo connector_id × công suất × khung giờ</t>
  </si>
  <si>
    <t>Thống kê từ bản ghi phiên sạc (F-C4) — cửa sổ trượt 30 ngày</t>
  </si>
  <si>
    <t>≥1 lần/giờ</t>
  </si>
  <si>
    <t>Khánh WR1: điều kiện bắt buộc để tính ra được thời gian chờ.</t>
  </si>
  <si>
    <t>G3 Energy + Data / P1</t>
  </si>
  <si>
    <t>Hàng đợi, xe đang hướng về trạm &amp; thời gian chờ</t>
  </si>
  <si>
    <r>
      <rPr>
        <rFont val="Arial"/>
        <color rgb="FF1A1A1A"/>
        <sz val="9.0"/>
      </rPr>
      <t xml:space="preserve">Số xe đang chờ; số xe dự kiến đến trong 60 phút; THỜI GIAN CHỜ DỰ KIẾN ĐẾN SLOT TRỐNG TIẾP THEO nếu đăng ký tại thời điểm đang xem
</t>
    </r>
    <r>
      <rPr>
        <rFont val="Arial"/>
        <color rgb="FFFF0000"/>
        <sz val="9.0"/>
      </rPr>
      <t>Bảng đầy đủ chi tiết các dữ liệu - đơn vị đo này</t>
    </r>
  </si>
  <si>
    <t>Số nguyên (xe) + ETA (phút) + thời gian chờ ước tính (phút, kèm khoảng tin cậy)</t>
  </si>
  <si>
    <t>CSMS + thời lượng phiên TB + suy luận từ vị trí–SOC–hướng đi của xe</t>
  </si>
  <si>
    <t>Khánh WR1: thêm thời gian chờ đến slot trống — bản cũ chỉ có số xe đang chờ.</t>
  </si>
  <si>
    <t>Biểu giá điện động</t>
  </si>
  <si>
    <t xml:space="preserve">tariff_id, version, station_id, khung giờ, đơn giá, loại nguồn phát, hiệu lực từ–đến
</t>
  </si>
  <si>
    <t>VNĐ/kWh; bản ghi CÓ VERSION, không hardcode</t>
  </si>
  <si>
    <t>Cấu hình của G3 Energy (bắt buộc chốt biểu giá — Q13)</t>
  </si>
  <si>
    <t>Khi thay đổi; app đồng bộ ≥1 lần/giờ</t>
  </si>
  <si>
    <t>Nguồn phát xanh &amp; BESS</t>
  </si>
  <si>
    <t>gen_source_id, loại nguồn (lưới/mặt trời/gió/sinh khối/BESS), công suất, sản lượng giờ, SOC của BESS, dự báo phát</t>
  </si>
  <si>
    <t>kW, kWh, % (SOC BESS)</t>
  </si>
  <si>
    <t>SCADA / API nhà cung cấp inverter &amp; BESS (G3 Energy)</t>
  </si>
  <si>
    <t>G3 Energy / P1</t>
  </si>
  <si>
    <t>A4. Dữ liệu chủ &amp; cấu hình</t>
  </si>
  <si>
    <t>Hồ sơ xe</t>
  </si>
  <si>
    <r>
      <rPr>
        <rFont val="Arial"/>
        <color rgb="FF1A1A1A"/>
        <sz val="9.0"/>
      </rPr>
      <t xml:space="preserve">VIN, dòng xe (EVT-262/400/825), chủ xe, đội, ngày bàn giao, device_id, trạng thái bảo hành, gói dịch vụ, nguyên giá, ngày bắt đầu khấu hao
</t>
    </r>
    <r>
      <rPr>
        <rFont val="Arial"/>
        <color rgb="FFFF0000"/>
        <sz val="9.0"/>
      </rPr>
      <t>Bảng đầy đủ chi tiết các dữ liệu - đơn vị đo này</t>
    </r>
  </si>
  <si>
    <t>Bản ghi quan hệ (PostgreSQL)</t>
  </si>
  <si>
    <t>Hệ đăng ký xe + provisioning</t>
  </si>
  <si>
    <t>Khi bàn giao / thay đổi</t>
  </si>
  <si>
    <t>Khánh WR1: thêm cờ 'xe có ADAS' để phân gói, và nguyên giá – khấu hao.</t>
  </si>
  <si>
    <t>BA + Kỹ thuật / P1</t>
  </si>
  <si>
    <t>Hồ sơ pin</t>
  </si>
  <si>
    <r>
      <rPr>
        <rFont val="Arial"/>
        <color rgb="FF1A1A1A"/>
        <sz val="9.0"/>
      </rPr>
      <t xml:space="preserve">pack_id, hóa chất (LFP/CATL), dung lượng thiết kế, SƠ ĐỒ CELL/MODULE (số cell, cell_id, vị trí) để hỗ trợ thay cell đơn lẻ
</t>
    </r>
    <r>
      <rPr>
        <rFont val="Arial"/>
        <color rgb="FFFF0000"/>
        <sz val="9.0"/>
      </rPr>
      <t>Hỏi CELL MODULE lại với Tri-ring
Hồ sơ xe, Pin và Tbox cần tách riêng để còn thay thế</t>
    </r>
  </si>
  <si>
    <t>Bản ghi quan hệ; kWh; danh sách cell_id</t>
  </si>
  <si>
    <t>Hồ sơ xe từ G3 Mobility + NSX pin</t>
  </si>
  <si>
    <t>Khi bàn giao / khi thay cell–module</t>
  </si>
  <si>
    <t>Khánh WR1: cần sơ đồ cell/module để hỗ trợ thay cell đơn lẻ.</t>
  </si>
  <si>
    <t>Phụ lục kỹ thuật chuẩn NSX</t>
  </si>
  <si>
    <t>Công thức tính SOH (pack và cell); định nghĩa 1 chu kỳ sạc–xả; danh sách đầy đủ trạng thái motor; BẢNG MÃ LỖI DTC ĐẦY ĐỦ kèm mô tả, phân loại severity và hướng xử lý; danh sách tín hiệu ngoài pin NSX cam kết mở</t>
  </si>
  <si>
    <t>Tài liệu + bảng tra cứu nạp vào hệ thống (có version)</t>
  </si>
  <si>
    <t>NSX cam kết bằng PHỤ LỤC KỸ THUẬT RÀNG BUỘC TRONG HỢP ĐỒNG (không để ở mức trao đổi kỹ thuật)</t>
  </si>
  <si>
    <t>Khi ký hợp đồng; cập nhật theo phiên bản</t>
  </si>
  <si>
    <t>Hùng Võ + Khanh HS: điều kiện tiên quyết — đưa vào hợp đồng, không để ở mức trao đổi kỹ thuật.</t>
  </si>
  <si>
    <t>Chính sách sạc (bảo hành)</t>
  </si>
  <si>
    <r>
      <rPr>
        <rFont val="Arial"/>
        <color rgb="FF1A1A1A"/>
        <sz val="9.0"/>
      </rPr>
      <t xml:space="preserve">policy_id, version, phạm vi (xe/đội/dòng), khung giờ ToU, SOC min–max (vd 20–90%), giới hạn công suất &amp; thời lượng, hiệu lực từ–đến
</t>
    </r>
    <r>
      <rPr>
        <rFont val="Arial"/>
        <color rgb="FFFF0000"/>
        <sz val="9.0"/>
      </rPr>
      <t>Bảng đầy đủ chi tiết các dữ liệu - đơn vị đo này</t>
    </r>
  </si>
  <si>
    <t>Bản ghi CÓ VERSION (audit được)</t>
  </si>
  <si>
    <t>G3 Mobility cấu hình trên portal</t>
  </si>
  <si>
    <t>Khi thay đổi (lưu toàn bộ phiên bản)</t>
  </si>
  <si>
    <t>G3 Mobility / P1</t>
  </si>
  <si>
    <t>Tài khoản &amp; phân quyền</t>
  </si>
  <si>
    <r>
      <rPr>
        <rFont val="Arial"/>
        <color rgb="FF1A1A1A"/>
        <sz val="9.0"/>
      </rPr>
      <t xml:space="preserve">user_id, vai trò RBAC, SĐT, doanh nghiệp vận tải, hợp đồng, gói dịch vụ (Cơ bản/Nâng cao)
</t>
    </r>
    <r>
      <rPr>
        <rFont val="Arial"/>
        <color rgb="FFFF0000"/>
        <sz val="9.0"/>
      </rPr>
      <t>Bảng đầy đủ chi tiết các dữ liệu - đơn vị đo này</t>
    </r>
  </si>
  <si>
    <t>Bản ghi quan hệ + ma trận RBAC</t>
  </si>
  <si>
    <t>Quản trị G3 Network / CRM</t>
  </si>
  <si>
    <t>Khi phát sinh</t>
  </si>
  <si>
    <t>Sếp Minh: khách hàng của App là doanh nghiệp vận tải, không phải chủ hàng. Phase 1 giữ 3 nhóm người dùng.</t>
  </si>
  <si>
    <t>BA / P1</t>
  </si>
  <si>
    <t>Hồ sơ tài xế &amp; consent</t>
  </si>
  <si>
    <t>driver_id, xe được gán, đồng ý xử lý dữ liệu cá nhân (Nghị định 13/2023)</t>
  </si>
  <si>
    <t>Bản ghi + cờ consent có timestamp</t>
  </si>
  <si>
    <t>App tài xế khi kích hoạt + portal đội xe</t>
  </si>
  <si>
    <t>Khi kích hoạt / đổi xe</t>
  </si>
  <si>
    <t>Pháp chế + BA / P0</t>
  </si>
  <si>
    <t>Danh bạ đối tác sửa chữa &amp; cứu hộ</t>
  </si>
  <si>
    <t>partner_id, loại, khu vực phục vụ, năng lực, giờ trực, SLA cam kết, đánh giá, tỷ lệ chia sẻ doanh thu</t>
  </si>
  <si>
    <t>Bản ghi quan hệ + vùng phục vụ (GIS)</t>
  </si>
  <si>
    <t>Quản trị G3 Network theo hợp đồng đối tác</t>
  </si>
  <si>
    <t>Khi ký / cập nhật hợp đồng</t>
  </si>
  <si>
    <t>Ngưỡng cảnh báo &amp; cấu hình thông báo</t>
  </si>
  <si>
    <r>
      <rPr>
        <rFont val="Arial"/>
        <color rgb="FF1A1A1A"/>
        <sz val="9.0"/>
      </rPr>
      <t xml:space="preserve">Ngưỡng pin 30/20/10%, ngưỡng nhiệt độ/SOH pack &amp; cell, NGƯỠNG TIÊU THỤ ĐIỆN BẤT THƯỜNG theo xe/tuyến, BẢNG PHÂN LOẠI SEVERITY, kênh &amp; tần suất gửi
</t>
    </r>
    <r>
      <rPr>
        <rFont val="Arial"/>
        <color rgb="FFFF0000"/>
        <sz val="9.0"/>
      </rPr>
      <t>Đầu ra phải cả quản lý (để nhắc nhở) và tài xế</t>
    </r>
  </si>
  <si>
    <t>Số + JSON cấu hình (có version)</t>
  </si>
  <si>
    <t>Admin portal (đẩy OTA xuống thiết bị)</t>
  </si>
  <si>
    <t>Khi thay đổi</t>
  </si>
  <si>
    <t>Khánh WR1: thêm bảng severity và ngưỡng tiêu thụ điện bất thường. Sếp Minh: chốt ngưỡng pin sau phỏng vấn.</t>
  </si>
  <si>
    <t>Khóa dự trữ tích hợp Phase 2</t>
  </si>
  <si>
    <t>trip_id, shipment_id, customer_id khai báo sẵn trong schema dưới dạng trường TÙY CHỌN (nullable) trên các bảng: telematics, phiên sạc, chuyến, sự kiện</t>
  </si>
  <si>
    <t>UUID nullable + ràng buộc khóa ngoại để trống</t>
  </si>
  <si>
    <t>Thiết kế schema Phase 1 (không cần dữ liệu ở Phase 1)</t>
  </si>
  <si>
    <t>Thiết lập 1 lần khi thiết kế schema</t>
  </si>
  <si>
    <t>Không dành sẵn thì Phase 2 không tính lại được phát thải theo khách hàng cho dữ liệu quá khứ.</t>
  </si>
  <si>
    <t>Kiến trúc / P0</t>
  </si>
  <si>
    <t>Nguyên giá, khấu hao &amp; định mức vòng đời vật tư</t>
  </si>
  <si>
    <r>
      <rPr>
        <rFont val="Arial"/>
        <color rgb="FF1A1A1A"/>
        <sz val="9.0"/>
      </rPr>
      <t xml:space="preserve">Nguyên giá xe/pin/tổng thành, phương pháp và thời gian khấu hao, giá trị còn lại, định mức vòng đời (km hoặc giờ) của từng loại vật tư–phụ tùng
</t>
    </r>
    <r>
      <rPr>
        <rFont val="Arial"/>
        <color rgb="FFFF0000"/>
        <sz val="9.0"/>
      </rPr>
      <t>Có thể theo dõi hoặc KHÔNG</t>
    </r>
  </si>
  <si>
    <t>Bản ghi quan hệ; VNĐ; số nguyên km/giờ</t>
  </si>
  <si>
    <t>Kế toán + G3 Mobility nhập trên portal</t>
  </si>
  <si>
    <t>Khi ghi tăng tài sản / khi thay đổi định mức</t>
  </si>
  <si>
    <t>P1.5</t>
  </si>
  <si>
    <t>Khánh WR1: mở rộng từ quản lý sự cố sang quản lý tài sản. Tách P1.5 để không phình Phase 1.</t>
  </si>
  <si>
    <t>Hùng Võ + BA / P2</t>
  </si>
  <si>
    <t>A5. Dữ liệu bên thứ ba</t>
  </si>
  <si>
    <t>Bản đồ, chỉ đường &amp; ma trận khoảng cách</t>
  </si>
  <si>
    <r>
      <rPr>
        <rFont val="Arial"/>
        <color rgb="FF1A1A1A"/>
        <sz val="9.0"/>
      </rPr>
      <t xml:space="preserve">Tuyến đường, ETA, khoảng cách, giới hạn tốc độ, TÌNH TRẠNG GIAO THÔNG, ĐƯỜNG CẤM TẢI, KHUNG GIỜ CẤM theo khu vực
</t>
    </r>
    <r>
      <rPr>
        <rFont val="Arial"/>
        <color rgb="FFFF0000"/>
        <sz val="9.0"/>
      </rPr>
      <t>Nghiên cứu API: GGMap, Waze
Update từ hình ảnh các xe khác</t>
    </r>
  </si>
  <si>
    <t>API JSON + lớp dữ liệu hạn chế lưu thông (polyline + khung giờ + tải trọng tối đa)</t>
  </si>
  <si>
    <t>Google Maps / VietMap / Mapbox / bản đồ của Be — 'CÓ DỮ LIỆU CẤM TẢI – CẤM GIỜ VN' LÀ TIÊU CHÍ BẮT BUỘC KHI CHỌN NHÀ CUNG CẤP (chốt qua pilot — Q5)</t>
  </si>
  <si>
    <t>Theo yêu cầu (cache để giảm chi phí); lớp cấm tải cập nhật khi có thay đổi</t>
  </si>
  <si>
    <t>Khánh WR1: thêm giao thông, đường cấm tải, khung giờ cấm — ràng buộc nặng nhất với xe container.</t>
  </si>
  <si>
    <t>BA + Mua hàng / P1</t>
  </si>
  <si>
    <t>Độ cao địa hình (DEM)</t>
  </si>
  <si>
    <t>Cao độ theo tuyến — đèo dốc ↔ đường bằng</t>
  </si>
  <si>
    <t>Raster/API độ cao, đơn vị m</t>
  </si>
  <si>
    <t>Nhà cung cấp bản đồ độ cao</t>
  </si>
  <si>
    <t>Cache theo tuyến</t>
  </si>
  <si>
    <t>Thời tiết &amp; nhiệt độ môi trường</t>
  </si>
  <si>
    <r>
      <rPr>
        <rFont val="Arial"/>
        <color rgb="FF1A1A1A"/>
        <sz val="9.0"/>
      </rPr>
      <t xml:space="preserve">Nhiệt độ, điều kiện thời tiết theo khu vực và theo tuyến đang chạy
</t>
    </r>
    <r>
      <rPr>
        <rFont val="Arial"/>
        <color rgb="FFFF0000"/>
        <sz val="9.0"/>
      </rPr>
      <t>Tình trạng pin
Update từ hình ảnh các xe khác</t>
    </r>
  </si>
  <si>
    <t>API JSON, đơn vị °C + enum điều kiện</t>
  </si>
  <si>
    <t>API thời tiết theo khu vực</t>
  </si>
  <si>
    <t>Khánh WR1: bổ sung thời tiết theo tuyến đang chạy.</t>
  </si>
  <si>
    <t>Kết quả thanh toán</t>
  </si>
  <si>
    <r>
      <rPr>
        <rFont val="Arial"/>
        <color rgb="FF1A1A1A"/>
        <sz val="9.0"/>
      </rPr>
      <t xml:space="preserve">payment_id, session_id/subscription_id, phương thức, số tiền, trạng thái, mã đối soát cổng
</t>
    </r>
    <r>
      <rPr>
        <rFont val="Arial"/>
        <color rgb="FFFF0000"/>
        <sz val="9.0"/>
      </rPr>
      <t>Cọc 300k (rút thì phải check) + nạp tiền vào app (ko rút đc), quét QR trên trụ để đăng nhập tk</t>
    </r>
  </si>
  <si>
    <t>JSON webhook; VNĐ số nguyên</t>
  </si>
  <si>
    <t>Cổng VNPay / Momo / ví (tokenization — KHÔNG lưu dữ liệu thẻ)</t>
  </si>
  <si>
    <t>Realtime theo giao dịch</t>
  </si>
  <si>
    <t>Luồng báo cáo tài xế về đơn vị điều hành phục vụ TMS (Sếp Minh) → Phase 2.</t>
  </si>
  <si>
    <t>Tài chính / P1</t>
  </si>
  <si>
    <t>Trạng thái hóa đơn điện tử</t>
  </si>
  <si>
    <t>Số hóa đơn, trạng thái phát hành, mã tra cứu</t>
  </si>
  <si>
    <t>API JSON + PDF/XML</t>
  </si>
  <si>
    <t>Nhà cung cấp hóa đơn điện tử (VN)</t>
  </si>
  <si>
    <t>Khi phát hành</t>
  </si>
  <si>
    <t>Kênh gửi thông báo</t>
  </si>
  <si>
    <t>Trạng thái gửi push / SMS brandname / OTP</t>
  </si>
  <si>
    <t>API JSON + log gửi</t>
  </si>
  <si>
    <t>FCM / APNs + nhà cung cấp SMS</t>
  </si>
  <si>
    <t>Theo sự kiện</t>
  </si>
  <si>
    <t>Dữ liệu đối tác ngoài (P1.5+)</t>
  </si>
  <si>
    <t>Luồng di chuyển &amp; nhu cầu theo khu vực dạng TỔNG HỢP/ẨN DANH</t>
  </si>
  <si>
    <t>API hoặc trao đổi tệp theo thỏa thuận</t>
  </si>
  <si>
    <t>Hanel, Be… — BẮT BUỘC có thỏa thuận chia sẻ &amp; rà soát NĐ 13 (Q15)</t>
  </si>
  <si>
    <t>Theo thỏa thuận</t>
  </si>
  <si>
    <t>BA + Pháp chế / P2</t>
  </si>
  <si>
    <t>A6. Nhập liệu từ người dùng</t>
  </si>
  <si>
    <t>Đăng nhập &amp; xác thực</t>
  </si>
  <si>
    <r>
      <rPr>
        <rFont val="Arial"/>
        <color rgb="FF1A1A1A"/>
        <sz val="9.0"/>
      </rPr>
      <t xml:space="preserve">Số điện thoại, OTP, phiên đăng nhập
</t>
    </r>
    <r>
      <rPr>
        <rFont val="Arial"/>
        <color rgb="FFFF0000"/>
        <sz val="9.0"/>
      </rPr>
      <t>Phân quyền các loại TK rõ ràng</t>
    </r>
  </si>
  <si>
    <t>SĐT + mã OTP; token OAuth2/JWT</t>
  </si>
  <si>
    <t>App tài xế / Web portal</t>
  </si>
  <si>
    <t>Mỗi lần đăng nhập</t>
  </si>
  <si>
    <t>Khai báo trạng thái chuyến (dự phòng)</t>
  </si>
  <si>
    <t>Chọn có hàng / chạy rỗng ngay trên app; nhập tải trọng CHỈ KHI cảm biến trên xe không có tín hiệu</t>
  </si>
  <si>
    <t>Enum, thao tác ≤2 chạm</t>
  </si>
  <si>
    <t>Tài xế hoặc điều vận</t>
  </si>
  <si>
    <t>Mỗi chuyến</t>
  </si>
  <si>
    <t>Hùng Võ: đã có cảm biến tải trọng → hạ khai báo thủ công xuống vai trò dự phòng.</t>
  </si>
  <si>
    <t>Yêu cầu CSKH / SOS</t>
  </si>
  <si>
    <t>Mô tả sự cố, ảnh hiện trường; VIN–vị trí–mã lỗi TỰ ĐỘNG đính kèm</t>
  </si>
  <si>
    <t>Form + ảnh JPEG/PNG + tọa độ GPS</t>
  </si>
  <si>
    <t>Tài xế bấm nút CSKH trong app (fallback hotline/Zalo)</t>
  </si>
  <si>
    <t>Theo sự cố</t>
  </si>
  <si>
    <t>CSKH / P1</t>
  </si>
  <si>
    <t>Phản hồi của đối tác cứu hộ–sửa chữa</t>
  </si>
  <si>
    <r>
      <rPr>
        <rFont val="Arial"/>
        <color rgb="FF1A1A1A"/>
        <sz val="9.0"/>
      </rPr>
      <t xml:space="preserve">Xác nhận tiếp nhận, thời gian dự kiến đến, kết quả xử lý, chi phí
</t>
    </r>
    <r>
      <rPr>
        <rFont val="Arial"/>
        <color rgb="FFFF0000"/>
        <sz val="9.0"/>
      </rPr>
      <t>Hùng Võ sẽ làm rõ phần này</t>
    </r>
  </si>
  <si>
    <t>Form/API chuẩn hóa; datetime; VNĐ</t>
  </si>
  <si>
    <t>Đối tác trong mạng lưới (vai trò ngoài tổ chức, phạm vi giới hạn)</t>
  </si>
  <si>
    <t>Mỗi ca sự cố (tiếp nhận ≤15 phút)</t>
  </si>
  <si>
    <t>Hồ sơ sửa chữa – bảo dưỡng – thay thế</t>
  </si>
  <si>
    <r>
      <rPr>
        <rFont val="Arial"/>
        <color rgb="FF1A1A1A"/>
        <sz val="9.0"/>
      </rPr>
      <t xml:space="preserve">Toàn bộ vòng đời: phát sinh lỗi → ghi nhận → chẩn đoán → quyết định xe có được chạy tiếp không → vào xưởng → sửa chữa → vật tư/phụ tùng thay thế → hoàn thành → bàn giao → theo dõi sau sửa chữa → đánh giá của khách hàng → đóng hồ sơ bảo hành
</t>
    </r>
    <r>
      <rPr>
        <rFont val="Arial"/>
        <color rgb="FFFF0000"/>
        <sz val="9.0"/>
      </rPr>
      <t>Hùng Võ sẽ làm rõ phần này</t>
    </r>
  </si>
  <si>
    <t>Bản ghi quan hệ theo ca sửa chữa + danh sách vật tư + VNĐ + datetime từng mốc</t>
  </si>
  <si>
    <t>Xưởng sửa chữa / đối tác nhập trên portal; tự động tạo hồ sơ từ mã lỗi DTC</t>
  </si>
  <si>
    <t>Theo từng ca sửa chữa</t>
  </si>
  <si>
    <t>Hùng Võ + Khánh WR1: phân hệ sửa chữa – bảo dưỡng. Tách P1.5; kho vật tư &amp; doanh thu xưởng → Phase 2.</t>
  </si>
  <si>
    <t>Đặt lịch bảo dưỡng / đặt chỗ trụ</t>
  </si>
  <si>
    <r>
      <rPr>
        <rFont val="Arial"/>
        <color rgb="FF1A1A1A"/>
        <sz val="9.0"/>
      </rPr>
      <t xml:space="preserve">Chọn xưởng, khung giờ; đặt &amp; hủy chỗ sạc (dựa trên thời gian chờ dự kiến)
</t>
    </r>
    <r>
      <rPr>
        <rFont val="Arial"/>
        <color rgb="FFFF0000"/>
        <sz val="9.0"/>
      </rPr>
      <t>Có phương án phạt nếu không tới. Chỉ xe của G3 hoặc VIP mới làm đc. Long làm chế độ</t>
    </r>
  </si>
  <si>
    <t>Form + datetime</t>
  </si>
  <si>
    <t>Tài xế / quản lý đội xe</t>
  </si>
  <si>
    <t>Theo nhu cầu</t>
  </si>
  <si>
    <t>Điều kiện tiên quyết (thời gian chờ tại trụ) đã được bổ sung ở P1.0.</t>
  </si>
  <si>
    <t>BA / P2</t>
  </si>
  <si>
    <t>Thao tác quản lý tài xế &amp; phân công xe</t>
  </si>
  <si>
    <r>
      <rPr>
        <rFont val="Arial"/>
        <color rgb="FF1A1A1A"/>
        <sz val="9.0"/>
      </rPr>
      <t xml:space="preserve">Thêm/sửa tài xế, gán xe, lịch làm việc
</t>
    </r>
    <r>
      <rPr>
        <rFont val="Arial"/>
        <color rgb="FFFF0000"/>
        <sz val="9.0"/>
      </rPr>
      <t>Hùng Võ làm rõ</t>
    </r>
  </si>
  <si>
    <t>Form CRUD trên web portal</t>
  </si>
  <si>
    <t>Quản lý đội xe</t>
  </si>
  <si>
    <t>A7. Camera giám sát &amp; ADAS</t>
  </si>
  <si>
    <t>Video camera giám sát người lái (DMS)</t>
  </si>
  <si>
    <t>Hình ảnh người lái ghi liên tục trong mọi điều kiện ánh sáng (hồng ngoại ban đêm); khung hình chèn biển số/VIN, GPS, tốc độ, thời gian thực</t>
  </si>
  <si>
    <t>Video H.264/H.265, ≥720p; đóng gói từng đoạn ≥1 phút</t>
  </si>
  <si>
    <t>Thiết bị ghi nhận hình ảnh người lái HỢP QUY (QCVN 06:2024/BCA) → máy chủ dịch vụ</t>
  </si>
  <si>
    <t>Liên tục; lưu trên thiết bị ≥72h (hiện hành) / ≥3 ngày (NĐ 319/2026)</t>
  </si>
  <si>
    <t>Khánh WR1: giữ camera hợp quy trong gói cơ bản vì là nghĩa vụ pháp lý (NĐ 319/2026); ADAS tách sang gói nâng cao.</t>
  </si>
  <si>
    <t>Ban dự án + Pháp chế / P0</t>
  </si>
  <si>
    <t>Sự kiện ADAS trong cabin</t>
  </si>
  <si>
    <t>Sự kiện buồn ngủ, mất tập trung, dùng điện thoại, bám đuôi quá gần — CHỈ có trên xe được trang bị ADAS</t>
  </si>
  <si>
    <t>Enum sự kiện + mức độ + clip 10–30s kèm theo</t>
  </si>
  <si>
    <t>Camera/ADAS của xe (phụ thuộc cấu hình xe) — điều kiện: cờ 'xe có ADAS' trong hồ sơ xe</t>
  </si>
  <si>
    <t>Realtime theo sự kiện</t>
  </si>
  <si>
    <t>P1.0 · Nâng cao</t>
  </si>
  <si>
    <t>TÁCH RA — GÓI NÂNG CAO</t>
  </si>
  <si>
    <t>Khánh WR1: ADAS là option cộng thêm, không bắt buộc trong gói cơ bản khi đầu tư ban đầu.</t>
  </si>
  <si>
    <t>Ban dự án / P1</t>
  </si>
  <si>
    <t>Định danh lái xe theo ca</t>
  </si>
  <si>
    <r>
      <rPr>
        <rFont val="Arial"/>
        <color rgb="FF1A1A1A"/>
        <sz val="9.0"/>
      </rPr>
      <t xml:space="preserve">driver_id, phương thức xác thực (khuôn mặt / thẻ / đăng nhập app), thời điểm bắt đầu – kết thúc ca
</t>
    </r>
    <r>
      <rPr>
        <rFont val="Arial"/>
        <color rgb="FFFF0000"/>
        <sz val="9.0"/>
      </rPr>
      <t>Cảnh báo cho quản lý</t>
    </r>
  </si>
  <si>
    <t>ID + enum + datetime (KHÔNG lưu mẫu sinh trắc thô nếu không bắt buộc)</t>
  </si>
  <si>
    <t>Camera DMS + app tài xế (gắn ca lái với chuyến)</t>
  </si>
  <si>
    <t>Đầu mỗi ca lái</t>
  </si>
  <si>
    <t>Pháp chế + Kỹ thuật / P0</t>
  </si>
  <si>
    <t>Thời gian lái liên tục &amp; tổng thời gian lái</t>
  </si>
  <si>
    <r>
      <rPr>
        <rFont val="Arial"/>
        <color rgb="FF1A1A1A"/>
        <sz val="9.0"/>
      </rPr>
      <t xml:space="preserve">Số phút lái liên tục, tổng giờ lái trong ngày &amp; trong tuần, thời gian nghỉ giữa ca
</t>
    </r>
    <r>
      <rPr>
        <rFont val="Arial"/>
        <color rgb="FFFF0000"/>
        <sz val="9.0"/>
      </rPr>
      <t>2 tài xế 1 xe, 1 app hay 2 app</t>
    </r>
  </si>
  <si>
    <t>Số phút; đối chiếu ngưỡng 4h liên tục · 10h/ngày · 48h/tuần</t>
  </si>
  <si>
    <t>Thiết bị GSHT hợp quy + CAN bus + định danh ca lái</t>
  </si>
  <si>
    <t>Realtime (tính lũy kế)</t>
  </si>
  <si>
    <t>Pháp chế / P0</t>
  </si>
  <si>
    <t>Số lần &amp; thời gian dừng, đỗ xe</t>
  </si>
  <si>
    <t>Mốc dừng/đỗ, tọa độ, thời lượng từng lần</t>
  </si>
  <si>
    <t>Datetime + tọa độ + số phút</t>
  </si>
  <si>
    <t>Thiết bị GSHT hợp quy (yêu cầu bắt buộc của NĐ 319/2026)</t>
  </si>
  <si>
    <t>Realtime</t>
  </si>
  <si>
    <t>Trạng thái &amp; toàn vẹn thiết bị camera</t>
  </si>
  <si>
    <t>Mất tín hiệu, bị che, lệch góc, mất nguồn, đầy bộ nhớ, sai lệch đồng hồ, phiên bản firmware</t>
  </si>
  <si>
    <t>Enum + mã lỗi + timestamp</t>
  </si>
  <si>
    <t>Heartbeat thiết bị camera / GSHT</t>
  </si>
  <si>
    <t>Biên nhận truyền dữ liệu về cơ quan quản lý</t>
  </si>
  <si>
    <t>Mã giao dịch, loại dữ liệu đã truyền, trạng thái, thời điểm xác nhận</t>
  </si>
  <si>
    <t>JSON biên nhận + log truyền (đối chiếu được khi thanh kiểm tra)</t>
  </si>
  <si>
    <t>Máy chủ dịch vụ của đơn vị cung cấp thiết bị hợp quy → máy chủ Cục CSGT</t>
  </si>
  <si>
    <t>Theo thời gian thực</t>
  </si>
  <si>
    <t>A8. Chuyển đổi xanh &amp; kiểm kê carbon</t>
  </si>
  <si>
    <t>Hệ số phát thải lưới điện Việt Nam (EF lưới)</t>
  </si>
  <si>
    <t>Giá trị EF, năm áp dụng, số văn bản công bố, ngày hiệu lực — nhân với kWh tiêu thụ để ra phát thải Scope 2</t>
  </si>
  <si>
    <t>Số thực 4 chữ số thập phân, tCO₂/MWh — BẢN GHI CÓ VERSION, KHÔNG hardcode</t>
  </si>
  <si>
    <t>Công bố chính thức hằng năm của cơ quan quản lý: năm 2023 = 0,6592 tCO₂/MWh (CV 1726/BĐKH-PTCBT ngày 3/12/2024); năm 2022 = 0,6766</t>
  </si>
  <si>
    <t>Hằng năm (kiểm tra văn bản công bố mới nhất trước mỗi kỳ tính)</t>
  </si>
  <si>
    <t>Giữ EF có version để Phase 2 tính lại được phát thải cho dữ liệu quá khứ.</t>
  </si>
  <si>
    <t>ESG / P1</t>
  </si>
  <si>
    <t>Cơ cấu nguồn điện của từng phiên sạc</t>
  </si>
  <si>
    <t>Tỷ lệ kWh lấy từ lưới / mặt trời / gió / sinh khối / xả BESS trong mỗi phiên</t>
  </si>
  <si>
    <t>% + kWh phân bổ theo từng loại nguồn</t>
  </si>
  <si>
    <t>Biểu giá theo nguồn (F-C8) + SCADA nguồn phát &amp; BESS của G3 Energy</t>
  </si>
  <si>
    <t>Theo phiên sạc (đồng bộ ≥1 lần/giờ)</t>
  </si>
  <si>
    <t>G3 Energy + ESG / P1</t>
  </si>
  <si>
    <t>Hệ số phát thải của nguồn phát tại chỗ</t>
  </si>
  <si>
    <t>EF vòng đời cho điện mặt trời, gió, sinh khối và điện xả từ BESS</t>
  </si>
  <si>
    <t>Số thực, tCO₂/MWh</t>
  </si>
  <si>
    <t>Hệ số IPCC / GHG Protocol + xác nhận của G3 Energy cho từng nhà máy</t>
  </si>
  <si>
    <t>Hằng năm</t>
  </si>
  <si>
    <t>Đường cơ sở xe diesel tương đương</t>
  </si>
  <si>
    <t>Mức tiêu hao nhiên liệu theo dòng xe &amp; tải trọng; hệ số phát thải của dầu diesel</t>
  </si>
  <si>
    <t>Số thực lít/100km; kgCO₂e/lít</t>
  </si>
  <si>
    <t>Định mức nội bộ G3 Mobility + hệ số phát thải nhiên liệu theo IPCC/công bố quốc gia</t>
  </si>
  <si>
    <t>≥1 lần/năm (khi cập nhật đường cơ sở)</t>
  </si>
  <si>
    <t>Tổn thất sạc (charging loss)</t>
  </si>
  <si>
    <t>Chênh lệch giữa kWh đo tại trụ và kWh thực nạp vào pin — tránh tính thừa/thiếu phát thải</t>
  </si>
  <si>
    <t>Tỷ lệ %, lấy từ đối soát 3 chiều</t>
  </si>
  <si>
    <t>Đối soát trụ (OCPP) ↔ xe (telematics) — NF-10</t>
  </si>
  <si>
    <t>Hằng tháng</t>
  </si>
  <si>
    <t>Data / P1</t>
  </si>
  <si>
    <t>Chứng chỉ năng lượng tái tạo (REC/I-REC)</t>
  </si>
  <si>
    <t>Mã chứng chỉ, sản lượng tương ứng, kỳ hiệu lực, đơn vị phát hành</t>
  </si>
  <si>
    <t>Bản ghi chứng chỉ, đơn vị MWh</t>
  </si>
  <si>
    <t>G3 Energy / đơn vị phát hành chứng chỉ</t>
  </si>
  <si>
    <t>Khi mua hoặc phát hành</t>
  </si>
  <si>
    <t>ESG / P2</t>
  </si>
  <si>
    <t>Ranh giới &amp; kỳ kiểm kê khí nhà kính</t>
  </si>
  <si>
    <t>Phạm vi tổ chức, phân loại Scope 1/2, kỳ báo cáo, phương pháp luận áp dụng. PHASE 1 CHỈ LÀM SCOPE 1 &amp; 2 CỦA ĐỘI XE</t>
  </si>
  <si>
    <t>Cấu hình theo GHG Protocol / ISO 14064-1</t>
  </si>
  <si>
    <t>Bộ phận ESG của Holding — nghĩa vụ theo NĐ 06/2022 (sửa đổi bởi NĐ 119/2025, NĐ 83/2026) &amp; QĐ 42/2026/QĐ-TTg</t>
  </si>
  <si>
    <t>Khi thiết lập / thay đổi</t>
  </si>
  <si>
    <t>Loan WR1 + Khanh HS: Phase 1 làm Scope 1 &amp; 2 của đội xe; Scope 3 theo chủ hàng → Phase 2.</t>
  </si>
  <si>
    <t>ĐẦU RA</t>
  </si>
  <si>
    <t>B1. Tài xế (app di động)</t>
  </si>
  <si>
    <t>Màn hình trạng thái xe</t>
  </si>
  <si>
    <r>
      <rPr>
        <rFont val="Arial"/>
        <color rgb="FF1A1A1A"/>
        <sz val="9.0"/>
      </rPr>
      <t xml:space="preserve">3 con số lớn: SOC, km còn lại, trạm gần nhất — BỔ SUNG thời gian sử dụng còn lại ước tính </t>
    </r>
    <r>
      <rPr>
        <rFont val="Arial"/>
        <color rgb="FFFF0000"/>
        <sz val="9.0"/>
      </rPr>
      <t>(Khánh WR1 tính)</t>
    </r>
  </si>
  <si>
    <t>Màn hình app (chữ lớn, tương phản cao, ≤3 chạm)</t>
  </si>
  <si>
    <t>F-A1 (telematics) + tốc độ tiêu thụ tức thời + F-C2 (trạng thái trụ)</t>
  </si>
  <si>
    <t>Realtime ≤30s</t>
  </si>
  <si>
    <t>Khánh WR1: thêm thời gian sử dụng còn lại. Sếp Minh: chốt nội dung màn hình chính sau phỏng vấn.</t>
  </si>
  <si>
    <t>BA / P0</t>
  </si>
  <si>
    <t>Cảnh báo pin phân cấp</t>
  </si>
  <si>
    <t>Cảnh báo 30% (sớm) / 20% (chính) / 10% (nguy cấp) kèm khoảng cách &amp; nút điều hướng</t>
  </si>
  <si>
    <t>Push + in-app; SMS fallback khi mất data</t>
  </si>
  <si>
    <t>F-A1 (SOC) + F-C2 + bản đồ</t>
  </si>
  <si>
    <t>≤30s khi chạm ngưỡng (1 lần/ngưỡng/chuyến)</t>
  </si>
  <si>
    <t>Sếp Minh: ngưỡng 30/20/10% đang là giả định — phỏng vấn 8–12 tài xế trước khi chốt SRS.</t>
  </si>
  <si>
    <t>Cảnh báo range-aware &amp; tư vấn hành trình</t>
  </si>
  <si>
    <t>Trả lời 'với mức pin hiện tại xe có đi hết hành trình đã chọn không'; báo khi SOC không đủ tới trạm đã chọn; gợi ý trạm thay thế trong tầm với</t>
  </si>
  <si>
    <t>Thẻ tư vấn in-app: Đủ / Sát ngưỡng / Không đủ + danh sách trạm thay thế</t>
  </si>
  <si>
    <t>Tốc độ tiêu thụ tức thời + SOC + tải trọng + DEM + thời tiết + F-A7 (dự báo tiêu hao)</t>
  </si>
  <si>
    <t>Realtime khi chọn điểm đến; cập nhật dọc hành trình</t>
  </si>
  <si>
    <t>GỘP MỤC</t>
  </si>
  <si>
    <t>Khánh WR1: tư vấn khả năng hoàn thành hành trình — GỘP vào cảnh báo range-aware sẵn có vì cùng trả lời một câu hỏi.</t>
  </si>
  <si>
    <t>BA + Data / P1</t>
  </si>
  <si>
    <t>Cảnh báo bất thường &amp; an toàn xe</t>
  </si>
  <si>
    <t>Nhiệt độ pin cao, sụt áp đột ngột, lỗi cell/module, lỗi motor VÀ các thiết bị ngoài pin (động cơ, bo mạch, phanh, lốp, điều hòa). MỖI CẢNH BÁO KÈM: mức độ nghiêm trọng + kết luận 'có tiếp tục di chuyển được không' + hướng xử lý</t>
  </si>
  <si>
    <t>Push + in-app, kèm snapshot dữ liệu, nhãn severity màu và nút gọi cứu hộ</t>
  </si>
  <si>
    <t>F-A1 (nhiệt độ, điện áp, mã lỗi) + Battery Safety + tín hiệu IoT ngoài pin + bảng severity NSX</t>
  </si>
  <si>
    <t>Realtime khi vượt ngưỡng an toàn</t>
  </si>
  <si>
    <t>Khánh WR1: mở rộng ra thiết bị ngoài pin, kèm severity và kết luận có tiếp tục di chuyển được không.</t>
  </si>
  <si>
    <t>Kỹ thuật + BA / P0</t>
  </si>
  <si>
    <t>Bản đồ &amp; điều hướng tới trạm</t>
  </si>
  <si>
    <t>Trạm gần nhất còn trống, lọc theo công suất/chuẩn/trạng thái</t>
  </si>
  <si>
    <t>Bản đồ in-app + deep link Google/VietMap</t>
  </si>
  <si>
    <t>F-C1 (danh mục) + F-C2 (trạng thái) + bản đồ</t>
  </si>
  <si>
    <t>Cảnh báo chờ tại trạm &amp; phân tải</t>
  </si>
  <si>
    <t>THỜI GIAN CHỜ DỰ KIẾN đến slot trống tiếp theo; đề xuất ≥1 trạm thay thế trong tầm SOC</t>
  </si>
  <si>
    <t>Thông báo in-app (cửa sổ dự báo 60 phút) + số phút chờ ước tính</t>
  </si>
  <si>
    <t>Thời lượng phiên TB theo trụ + F-C7 (dự báo tải trạm) + F-C3 (hàng đợi)</t>
  </si>
  <si>
    <t>Realtime khi số xe dự kiến &gt; số súng trống</t>
  </si>
  <si>
    <t>Khánh WR1: hiển thị thời gian chờ đến slot trống thay cho số xe đang chờ.</t>
  </si>
  <si>
    <t>Cảnh báo đường cấm tải &amp; khung giờ cấm</t>
  </si>
  <si>
    <t>Cảnh báo trước khi xe đi vào đoạn cấm tải hoặc trong khung giờ cấm; đề xuất tuyến thay thế và ảnh hưởng tới trạm sạc trên tuyến</t>
  </si>
  <si>
    <t>Cảnh báo in-app + âm thanh; hiển thị đoạn cấm trên bản đồ</t>
  </si>
  <si>
    <t>Lớp dữ liệu cấm tải – cấm giờ của nhà cung cấp bản đồ + GPS + tải trọng từ cảm biến</t>
  </si>
  <si>
    <t>Realtime khi tiếp cận đoạn cấm</t>
  </si>
  <si>
    <t>Khánh WR1: cảnh báo khi xe đi vào đường cấm. Phụ thuộc nhà cung cấp bản đồ có dữ liệu cấm tải VN.</t>
  </si>
  <si>
    <t>Giá điện hiện tại &amp; khung giờ rẻ nhất</t>
  </si>
  <si>
    <r>
      <rPr>
        <rFont val="Arial"/>
        <color rgb="FF1A1A1A"/>
        <sz val="9.0"/>
      </rPr>
      <t xml:space="preserve">Đơn giá theo trạm &amp; khung giờ, nguồn phát đang cấp điện
</t>
    </r>
    <r>
      <rPr>
        <rFont val="Arial"/>
        <color rgb="FFFF0000"/>
        <sz val="9.0"/>
      </rPr>
      <t>A Nam sẽ hoàn thiện phần này</t>
    </r>
  </si>
  <si>
    <t>Hiển thị VNĐ/kWh — PHẢI khớp 100% giá tính tiền</t>
  </si>
  <si>
    <t>F-C8 (biểu giá có version)</t>
  </si>
  <si>
    <t>Realtime, đồng bộ ≥1 lần/giờ</t>
  </si>
  <si>
    <t>Gợi ý sạc tối ưu chi phí</t>
  </si>
  <si>
    <t>Nên sạc ở đâu, lúc nào; số tiền tiết kiệm ước tính &amp; rủi ro trễ hành trình</t>
  </si>
  <si>
    <t>Thẻ gợi ý in-app, quy đổi VNĐ (luôn bỏ qua được)</t>
  </si>
  <si>
    <t>F-C8 + F-C7 + F-A7 + SOC hiện tại + thời gian chờ</t>
  </si>
  <si>
    <t>Theo hành trình</t>
  </si>
  <si>
    <t>Biên nhận phiên sạc</t>
  </si>
  <si>
    <r>
      <rPr>
        <rFont val="Arial"/>
        <color rgb="FF1A1A1A"/>
        <sz val="9.0"/>
      </rPr>
      <t xml:space="preserve">Thời gian, trạm/trụ, kWh, đơn giá, thành tiền
</t>
    </r>
    <r>
      <rPr>
        <rFont val="Arial"/>
        <color rgb="FFFF0000"/>
        <sz val="9.0"/>
      </rPr>
      <t>Trụ của mỏ, trụ không public (phương án riêng)</t>
    </r>
  </si>
  <si>
    <t>Biên nhận điện tử in-app</t>
  </si>
  <si>
    <t>F-B2 (phiên sạc) + F-H1 (thanh toán)</t>
  </si>
  <si>
    <t>Ngay khi kết thúc phiên</t>
  </si>
  <si>
    <t>Tài chính / P0</t>
  </si>
  <si>
    <t>Hóa đơn điện tử kWh</t>
  </si>
  <si>
    <t>Hóa đơn hợp lệ theo quy định VN</t>
  </si>
  <si>
    <t>PDF / XML hóa đơn điện tử</t>
  </si>
  <si>
    <t>F-C6 + nhà cung cấp HĐĐT</t>
  </si>
  <si>
    <t>Theo phiên hoặc theo tháng</t>
  </si>
  <si>
    <t>Lịch sử phiên sạc, ví &amp; giao dịch</t>
  </si>
  <si>
    <r>
      <rPr>
        <rFont val="Arial"/>
        <color rgb="FF1A1A1A"/>
        <sz val="9.0"/>
      </rPr>
      <t xml:space="preserve">Danh sách phiên, số dư ví, nạp/rút, đối soát
</t>
    </r>
    <r>
      <rPr>
        <rFont val="Arial"/>
        <color rgb="FFFF0000"/>
        <sz val="9.0"/>
      </rPr>
      <t>Bảng đầy đủ chi tiết các dữ liệu - đơn vị đo này</t>
    </r>
  </si>
  <si>
    <t>Danh sách in-app + xuất CSV</t>
  </si>
  <si>
    <t>F-B2 + F-H1/H2</t>
  </si>
  <si>
    <t>Cập nhật liên tục</t>
  </si>
  <si>
    <t>Cảnh báo nguy cơ mất bảo hành</t>
  </si>
  <si>
    <t>Nêu rõ hành vi vi phạm &amp; cách khắc phục</t>
  </si>
  <si>
    <t>Push realtime + bản tổng hợp định kỳ</t>
  </si>
  <si>
    <t>F-B3 (đối chiếu chính sách sạc)</t>
  </si>
  <si>
    <t>Realtime + định kỳ</t>
  </si>
  <si>
    <t>Điểm tuân thủ sạc của xe</t>
  </si>
  <si>
    <r>
      <rPr>
        <rFont val="Arial"/>
        <color rgb="FF1A1A1A"/>
        <sz val="9.0"/>
      </rPr>
      <t xml:space="preserve">Điểm tuân thủ, số vi phạm, mức nguy cơ bảo hành
</t>
    </r>
    <r>
      <rPr>
        <rFont val="Arial"/>
        <color rgb="FFFF0000"/>
        <sz val="9.0"/>
      </rPr>
      <t>Chưa có chính sách</t>
    </r>
  </si>
  <si>
    <t>Chỉ số 0–100 hiển thị in-app</t>
  </si>
  <si>
    <t>F-B3, F-B4</t>
  </si>
  <si>
    <t>Cập nhật theo phiên sạc</t>
  </si>
  <si>
    <t>Nhắc bảo dưỡng &amp; ưu đãi</t>
  </si>
  <si>
    <r>
      <rPr>
        <rFont val="Arial"/>
        <color rgb="FF1A1A1A"/>
        <sz val="9.0"/>
      </rPr>
      <t xml:space="preserve">Nhắc theo km hoặc mốc thời gian, đối chiếu LỊCH SỬ BẢO DƯỠNG đã thực hiện; chiến dịch ưu đãi
</t>
    </r>
    <r>
      <rPr>
        <rFont val="Arial"/>
        <color rgb="FFFF0000"/>
        <sz val="9.0"/>
      </rPr>
      <t>Hùng Võ làm chi tiết</t>
    </r>
  </si>
  <si>
    <t>Push + in-app (giới hạn tần suất, chống spam)</t>
  </si>
  <si>
    <t>F-A1 (odometer) + lịch bảo dưỡng + hồ sơ sửa chữa–bảo dưỡng</t>
  </si>
  <si>
    <t>Theo lịch/mốc km</t>
  </si>
  <si>
    <t>Khánh WR1 + Hùng Võ: gắn với lịch sử bảo dưỡng thực tế thay vì chỉ theo mốc km.</t>
  </si>
  <si>
    <t>Trạng thái ticket SOS &amp; cứu hộ</t>
  </si>
  <si>
    <r>
      <rPr>
        <rFont val="Arial"/>
        <color rgb="FF1A1A1A"/>
        <sz val="9.0"/>
      </rPr>
      <t xml:space="preserve">Tiến trình xử lý, đơn vị tiếp nhận, thời gian dự kiến đến
</t>
    </r>
    <r>
      <rPr>
        <rFont val="Arial"/>
        <color rgb="FFFF0000"/>
        <sz val="9.0"/>
      </rPr>
      <t>Hùng Võ làm rõ</t>
    </r>
  </si>
  <si>
    <t>Màn hình theo dõi in-app</t>
  </si>
  <si>
    <t>F-I2 + F-I4</t>
  </si>
  <si>
    <t>Realtime trong ca sự cố</t>
  </si>
  <si>
    <t>Lịch sử chuyến &amp; chi phí</t>
  </si>
  <si>
    <r>
      <rPr>
        <rFont val="Arial"/>
        <color rgb="FF1A1A1A"/>
        <sz val="9.0"/>
      </rPr>
      <t xml:space="preserve">Km/ngày, kWh tiêu thụ, kWh/km, chi phí/km theo xe, </t>
    </r>
    <r>
      <rPr>
        <rFont val="Arial"/>
        <color rgb="FFFF0000"/>
        <sz val="9.0"/>
      </rPr>
      <t>kWh theo cung đường
Hùng Võ định nghĩa từng chuyến
Tiêu thụ năng lượng từng chuyến (PA: tài xế nhận và kthuc chuyến)</t>
    </r>
  </si>
  <si>
    <t>F-A1 + F-B2 + giá điện cấu hình</t>
  </si>
  <si>
    <t>Ngày / tuần / tháng</t>
  </si>
  <si>
    <t>Dữ liệu offline khi mất sóng</t>
  </si>
  <si>
    <t>SOC gần nhất, bản đồ trạm đã tải, cảnh báo ngưỡng cục bộ</t>
  </si>
  <si>
    <t>Cache trên thiết bị kèm timestamp; hàng đợi đồng bộ</t>
  </si>
  <si>
    <t>F-A1 + F-C1 (cache) + thiết bị telematics</t>
  </si>
  <si>
    <t>Cache gần nhất; đồng bộ khi có sóng</t>
  </si>
  <si>
    <t>Cảnh báo thời gian lái liên tục</t>
  </si>
  <si>
    <r>
      <rPr>
        <rFont val="Arial"/>
        <color rgb="FF1A1A1A"/>
        <sz val="9.0"/>
      </rPr>
      <t xml:space="preserve">Nhắc trước khi chạm ngưỡng 4 giờ liên tục và 10 giờ/ngày; gợi ý điểm dừng nghỉ, ưu tiên trạm sạc trên tuyến
</t>
    </r>
    <r>
      <rPr>
        <rFont val="Arial"/>
        <color rgb="FFFF0000"/>
        <sz val="9.0"/>
      </rPr>
      <t>Tài xế có thể đặt ăn, dịch vụ tại trạm sạc trên app</t>
    </r>
  </si>
  <si>
    <t>Push + in-app kèm đếm ngược thời gian còn được lái</t>
  </si>
  <si>
    <t>Thời gian lái liên tục (A7) + danh mục trạm (F-C1)</t>
  </si>
  <si>
    <t>Clip bằng chứng của chính lái xe</t>
  </si>
  <si>
    <r>
      <rPr>
        <rFont val="Arial"/>
        <color rgb="FF1A1A1A"/>
        <sz val="9.0"/>
      </rPr>
      <t xml:space="preserve">Xem lại clip 10–30s quanh sự kiện của mình, dùng khi khiếu nại hoặc tranh chấp
</t>
    </r>
    <r>
      <rPr>
        <rFont val="Arial"/>
        <color rgb="FFFF0000"/>
        <sz val="9.0"/>
      </rPr>
      <t>Hùng Võ làm rõ</t>
    </r>
  </si>
  <si>
    <t>Trình phát video in-app — chỉ dữ liệu của chính mình, mọi lượt xem đều ghi audit</t>
  </si>
  <si>
    <t>Kho video theo sự kiện (A7)</t>
  </si>
  <si>
    <t>Theo yêu cầu, trong thời hạn lưu trữ</t>
  </si>
  <si>
    <t>Pháp chế / P1</t>
  </si>
  <si>
    <t>Cảnh báo an toàn tức thời trong cabin</t>
  </si>
  <si>
    <t>Nhắc khi phát hiện buồn ngủ, mất tập trung, dùng điện thoại, bám đuôi quá gần</t>
  </si>
  <si>
    <t>Cảnh báo âm thanh/giọng nói ngay tại thiết bị + push in-app</t>
  </si>
  <si>
    <t>Sự kiện ADAS trong cabin (A7) — CHỈ xe có ADAS</t>
  </si>
  <si>
    <t>Realtime tại thời điểm phát hiện</t>
  </si>
  <si>
    <t>Khánh WR1: chuyển sang gói nâng cao, chỉ áp dụng cho xe có ADAS.</t>
  </si>
  <si>
    <t>Lượng CO₂ giảm được theo chuyến &amp; theo tháng</t>
  </si>
  <si>
    <r>
      <rPr>
        <rFont val="Arial"/>
        <color rgb="FF1A1A1A"/>
        <sz val="9.0"/>
      </rPr>
      <t xml:space="preserve">Phát thải thực tế của xe so với xe diesel tương đương cùng tải trọng và quãng đường — Ở CẤP XE VÀ CHUYẾN
</t>
    </r>
    <r>
      <rPr>
        <rFont val="Arial"/>
        <color rgb="FFFF0000"/>
        <sz val="9.0"/>
      </rPr>
      <t>Hùng Võ, WR1 tính công thức xe dầu</t>
    </r>
  </si>
  <si>
    <t>kgCO₂e, hiển thị in-app kèm thuyết minh cách tính</t>
  </si>
  <si>
    <t>kWh phiên sạc (F-B2) × EF lưới &amp; EF nguồn phát (A8), đối chiếu đường cơ sở diesel</t>
  </si>
  <si>
    <t>Chuyến / tuần / tháng</t>
  </si>
  <si>
    <t>Loan WR1 + Khanh HS: Phase 1 làm đoạn Vehicle → CO₂e; đoạn Customer → Shipment → Trip → Phase 2.</t>
  </si>
  <si>
    <t>ESG + Data / P1</t>
  </si>
  <si>
    <t>Nhãn «phiên sạc xanh»</t>
  </si>
  <si>
    <t>% kWh từ nguồn tái tạo trong phiên, lượng CO₂ tránh được và tiền tiết kiệm</t>
  </si>
  <si>
    <t>Nhãn + số liệu in trên biên nhận phiên sạc</t>
  </si>
  <si>
    <t>Cơ cấu nguồn điện theo phiên (A8) + F-C8</t>
  </si>
  <si>
    <t>Mỗi phiên sạc</t>
  </si>
  <si>
    <t>B2. Doanh nghiệp vận tải (QL đội xe · Bảo hành · Lãnh đạo)</t>
  </si>
  <si>
    <t>Danh sách &amp; bản đồ toàn đội xe</t>
  </si>
  <si>
    <r>
      <rPr>
        <rFont val="Arial"/>
        <color rgb="FF1A1A1A"/>
        <sz val="9.0"/>
      </rPr>
      <t xml:space="preserve">Trạng thái vận hành (đang lái/đỗ/sạc/tắt máy), vị trí realtime, xe offline, cảnh báo qua đêm
</t>
    </r>
    <r>
      <rPr>
        <rFont val="Arial"/>
        <color rgb="FFFF0000"/>
        <sz val="9.0"/>
      </rPr>
      <t>Tham khảo Vietmap (Khanh)</t>
    </r>
  </si>
  <si>
    <t>Web portal — 1 màn hình tổng quan</t>
  </si>
  <si>
    <t>F-A1, F-A5, F-J1 + trạng thái vận hành xe</t>
  </si>
  <si>
    <t>Loan WR1: thêm trạng thái vận hành xe — phân biệt xe tắt máy với xe mất kết nối.</t>
  </si>
  <si>
    <t>Dashboard KPI đội xe</t>
  </si>
  <si>
    <r>
      <rPr>
        <rFont val="Arial"/>
        <color rgb="FF1A1A1A"/>
        <sz val="9.0"/>
      </rPr>
      <t xml:space="preserve">Km, kWh, kWh/km, chi phí/km, SOH, tỷ lệ sử dụng, cảnh báo
</t>
    </r>
    <r>
      <rPr>
        <rFont val="Arial"/>
        <color rgb="FFFF0000"/>
        <sz val="9.0"/>
      </rPr>
      <t>Bảng đầy đủ chi tiết các dữ liệu - đơn vị đo này</t>
    </r>
  </si>
  <si>
    <t>Dashboard web, lọc theo thời gian/xe</t>
  </si>
  <si>
    <t>F-A1, F-A6, F-A3, F-B2</t>
  </si>
  <si>
    <t>Bảng chẩn đoán sức khỏe pin cấp cell</t>
  </si>
  <si>
    <r>
      <rPr>
        <rFont val="Arial"/>
        <color rgb="FF1A1A1A"/>
        <sz val="9.0"/>
      </rPr>
      <t xml:space="preserve">SOH &amp; điện áp từng cell, cell yếu, mức mất cân bằng, ĐỀ XUẤT THAY CELL ĐƠN LẺ thay vì thay cả pack — kèm ước tính chi phí chênh lệch
</t>
    </r>
    <r>
      <rPr>
        <rFont val="Arial"/>
        <color rgb="FFFF0000"/>
        <sz val="9.0"/>
      </rPr>
      <t>Chỉ đo được cả pack</t>
    </r>
  </si>
  <si>
    <t>Bảng nhiệt (heatmap) theo cell + danh sách cell cần xử lý + xuất CSV</t>
  </si>
  <si>
    <t>SOH cấp cell + Battery Safety + hồ sơ pin (sơ đồ cell/module)</t>
  </si>
  <si>
    <t>≥1 lần/ngày; cảnh báo theo sự kiện</t>
  </si>
  <si>
    <t>Khánh WR1: thay cell thay vì thay cả pack — tác động chi phí lớn nhất. Phụ thuộc NSX mở tín hiệu cấp cell.</t>
  </si>
  <si>
    <t>Bảng cảnh báo thiết bị ngoài pin</t>
  </si>
  <si>
    <r>
      <rPr>
        <rFont val="Arial"/>
        <color rgb="FF1A1A1A"/>
        <sz val="9.0"/>
      </rPr>
      <t xml:space="preserve">Động cơ điện, ắc quy phụ, bo mạch, phanh, lốp, đèn, cửa, điều hòa — trạng thái, mã lỗi, severity, xe nào cần vào xưởng ngay
</t>
    </r>
    <r>
      <rPr>
        <rFont val="Arial"/>
        <color rgb="FFFF0000"/>
        <sz val="9.0"/>
      </rPr>
      <t>Bảng đầy đủ chi tiết các dữ liệu - đơn vị đo này - Hùng Võ làm</t>
    </r>
  </si>
  <si>
    <t>Dashboard + danh sách ưu tiên theo severity + xuất CSV</t>
  </si>
  <si>
    <t>Tín hiệu IoT ngoài pin + bảng mã lỗi DTC của NSX</t>
  </si>
  <si>
    <t>Realtime + tổng hợp ngày</t>
  </si>
  <si>
    <t>Khánh WR1: mở rộng giám sát IoT ra ngoài pin. Phụ thuộc NSX có mở tín hiệu hay không.</t>
  </si>
  <si>
    <t>Cảnh báo tiêu thụ điện bất thường</t>
  </si>
  <si>
    <r>
      <rPr>
        <rFont val="Arial"/>
        <color rgb="FF1A1A1A"/>
        <sz val="9.0"/>
      </rPr>
      <t xml:space="preserve">Cảnh báo khi mức tiêu thụ vượt ngưỡng thống kê so với trung bình theo xe/tuyến; hiển thị các yếu tố liên quan (tải trọng, địa hình, thời tiết, thời gian dùng phụ tải). PHÂN TÍCH NGUYÊN NHÂN BẰNG AI ĐẶT Ở GIAI ĐOẠN SAU
</t>
    </r>
    <r>
      <rPr>
        <rFont val="Arial"/>
        <color rgb="FFFF0000"/>
        <sz val="9.0"/>
      </rPr>
      <t>Kiểm tra lại, có thể không cần</t>
    </r>
  </si>
  <si>
    <t>Alert dashboard + báo cáo so sánh với đường cơ sở của chính xe đó</t>
  </si>
  <si>
    <t>F-A6 + tải trọng + thời gian hoạt động phụ tải + DEM + thời tiết</t>
  </si>
  <si>
    <t>Ngày (cảnh báo) / tuần (báo cáo)</t>
  </si>
  <si>
    <t>Khánh WR1: Phase 1 cảnh báo theo ngưỡng thống kê; phần quy nguyên nhân bằng AI đặt ở giai đoạn sau.</t>
  </si>
  <si>
    <t>Data / P2</t>
  </si>
  <si>
    <t>Báo cáo sạc &amp; bảo hành theo đội/xe</t>
  </si>
  <si>
    <r>
      <rPr>
        <rFont val="Arial"/>
        <color rgb="FF1A1A1A"/>
        <sz val="9.0"/>
      </rPr>
      <t xml:space="preserve">Phiên sạc, mức tuân thủ chính sách, trạng thái bảo hành
</t>
    </r>
    <r>
      <rPr>
        <rFont val="Arial"/>
        <color rgb="FFFF0000"/>
        <sz val="9.0"/>
      </rPr>
      <t>Hùng Võ làm rõ</t>
    </r>
  </si>
  <si>
    <t>Xuất CSV/PDF 1 click, lọc xe &amp; thời gian</t>
  </si>
  <si>
    <t>F-B2, F-B3, F-B4</t>
  </si>
  <si>
    <t>Theo yêu cầu / hằng tuần</t>
  </si>
  <si>
    <t>Bảng trạng thái bảo hành</t>
  </si>
  <si>
    <t>Điểm tuân thủ, số vi phạm, mức nguy cơ theo từng xe</t>
  </si>
  <si>
    <t>Dashboard có bộ lọc theo nguy cơ + xuất báo cáo</t>
  </si>
  <si>
    <t>F-B1 (chính sách) đối chiếu F-B2 (phiên sạc)</t>
  </si>
  <si>
    <t>Hồ sơ vi phạm kèm bằng chứng</t>
  </si>
  <si>
    <t>Loại vi phạm, snapshot phiên sạc, dữ liệu telematics đối chứng</t>
  </si>
  <si>
    <t>Báo cáo PDF + bản ghi BẤT BIẾN (append-only)</t>
  </si>
  <si>
    <t>F-B3 + đối soát 3 chiều (NF-10)</t>
  </si>
  <si>
    <t>Theo sự kiện + báo cáo định kỳ</t>
  </si>
  <si>
    <t>Báo cáo hiệu quả sạc theo tài xế (2 khung nhìn)</t>
  </si>
  <si>
    <r>
      <rPr>
        <rFont val="Arial"/>
        <color rgb="FF1A1A1A"/>
        <sz val="9.0"/>
      </rPr>
      <t xml:space="preserve">% kWh giờ thấp điểm &amp; điện tái tạo, chi phí điện/km, tiền tiết kiệm, xếp hạng đội. KHUNG NHÌN: portal quản lý xem toàn đội · app tài xế chỉ xem phần của mình
</t>
    </r>
    <r>
      <rPr>
        <rFont val="Arial"/>
        <color rgb="FFFF0000"/>
        <sz val="9.0"/>
      </rPr>
      <t>kWh/km - chi phí/km --&gt; có tiết kiệm tiền không?</t>
    </r>
  </si>
  <si>
    <t>Báo cáo in-app (tài xế) + CSV/PDF (quản lý) — đầu vào cho chính sách thưởng/thi đua</t>
  </si>
  <si>
    <t>F-B2 + F-C8</t>
  </si>
  <si>
    <t>Tuần / tháng</t>
  </si>
  <si>
    <t>GỘP «Báo cáo hiệu quả sạc cá nhân» (B1) vào đây — cùng một phép tính, khác quyền xem.</t>
  </si>
  <si>
    <t>Điểm an toàn lái xe hợp nhất (2 khung nhìn)</t>
  </si>
  <si>
    <t>Gộp phanh gấp, tăng tốc đột ngột, vào cua nhanh, gia tốc m/s2, quá tốc độ, lái liên tục &gt;4h từ telematics VỚI sự kiện camera DMS/ADAS thành MỘT thang điểm. Xe không có ADAS vẫn chấm điểm từ telematics. KHUNG NHÌN: quản lý xem toàn đội · tài xế xem điểm của mình</t>
  </si>
  <si>
    <t>Thang 0–100 chuẩn hóa theo 100 km; báo cáo tuần; nêu rõ nguồn dữ liệu đã dùng</t>
  </si>
  <si>
    <t>F-A1 (tốc độ, gia tốc, GPS) + bản đồ giới hạn tốc độ + sự kiện camera (A7) + ADAS nếu có</t>
  </si>
  <si>
    <t>Tuần</t>
  </si>
  <si>
    <t>GỘP «Điểm an toàn lái hợp nhất» (B1) vào đây. Khánh WR1: ADAS là tùy chọn nên điểm không được phụ thuộc hoàn toàn vào ADAS.</t>
  </si>
  <si>
    <t>Danh sách tài xế &amp; lịch sử phân công xe</t>
  </si>
  <si>
    <t>Danh sách tài xế, xe được gán, lịch sử hoạt động</t>
  </si>
  <si>
    <t>Bảng CRUD trên web portal</t>
  </si>
  <si>
    <t>F-E4 + F-A5</t>
  </si>
  <si>
    <t>Hóa đơn kWh tổng hợp cho đội xe</t>
  </si>
  <si>
    <t>Tổng kWh &amp; chi phí sạc theo tháng, bóc tách theo từng xe</t>
  </si>
  <si>
    <t>PDF/XML hóa đơn điện tử + CSV đối chiếu</t>
  </si>
  <si>
    <t>F-C6 + F-H1 + nhà cung cấp HĐĐT</t>
  </si>
  <si>
    <t>Tháng</t>
  </si>
  <si>
    <t>Báo cáo chi phí vận hành/km</t>
  </si>
  <si>
    <t>Chi phí điện, chi phí/km theo xe – tài xế – tuyến</t>
  </si>
  <si>
    <t>CSV (công thức giá điện cấu hình được)</t>
  </si>
  <si>
    <t>F-A6 + F-B2 + biểu giá F-C8</t>
  </si>
  <si>
    <t>Bộ KPI cho Ban lãnh đạo</t>
  </si>
  <si>
    <t>North Star WHAV, tuân thủ sạc, kích hoạt app, CSAT/NPS, doanh thu, số xe</t>
  </si>
  <si>
    <t>Dashboard + báo cáo định kỳ (PDF)</t>
  </si>
  <si>
    <t>Tổng hợp toàn bộ dữ liệu P1</t>
  </si>
  <si>
    <t>Tuần / tháng / quý</t>
  </si>
  <si>
    <t>Bảng sự kiện an toàn theo tài xế &amp; xe</t>
  </si>
  <si>
    <t>Sự kiện an toàn từ telematics (gói cơ bản) TÁCH BIỆT với sự kiện DMS/ADAS (gói nâng cao); mức độ, xu hướng theo tuần; mở clip bằng chứng</t>
  </si>
  <si>
    <t>Dashboard web + xuất CSV; mọi lượt xem clip đều ghi audit</t>
  </si>
  <si>
    <t>Sự kiện &amp; video camera (A7) + sự kiện ADAS (nếu có)</t>
  </si>
  <si>
    <t>Ngày / tuần</t>
  </si>
  <si>
    <t>Khánh WR1: tách sự kiện gói cơ bản và gói nâng cao để dùng được cho đội xe không có ADAS.</t>
  </si>
  <si>
    <t>Báo cáo tuân thủ thời gian lái &amp; nghỉ</t>
  </si>
  <si>
    <t>Số ca vượt 4 giờ liên tục, 10 giờ/ngày, 48 giờ/tuần theo từng tài xế</t>
  </si>
  <si>
    <t>Báo cáo CSV/PDF, đánh dấu rõ ca vi phạm</t>
  </si>
  <si>
    <t>Thời gian lái liên tục (A7)</t>
  </si>
  <si>
    <t>Báo cáo tình trạng thiết bị camera</t>
  </si>
  <si>
    <t>Uptime camera, số lần bị che hoặc mất tín hiệu, tỷ lệ truyền dữ liệu thành công</t>
  </si>
  <si>
    <t>Dashboard + báo cáo phục vụ thanh tra, kiểm tra</t>
  </si>
  <si>
    <t>Heartbeat camera &amp; biên nhận truyền (A7)</t>
  </si>
  <si>
    <t>Hồ sơ trích xuất phục vụ tai nạn &amp; bảo hiểm</t>
  </si>
  <si>
    <t>Clip, dữ liệu hành trình, tốc độ và sự kiện quanh thời điểm vụ việc</t>
  </si>
  <si>
    <t>Gói hồ sơ (video + CSV + biên bản), có audit log trích xuất</t>
  </si>
  <si>
    <t>Kho video (A7) + telematics (F-A1, F-A5)</t>
  </si>
  <si>
    <t>Theo từng vụ việc</t>
  </si>
  <si>
    <t>Báo cáo kiểm kê phát thải Scope 1 &amp; 2 của đội xe</t>
  </si>
  <si>
    <t>tCO₂e theo tháng/quý/năm, tách riêng phát thải từ điện lưới và điện tái tạo</t>
  </si>
  <si>
    <t>Báo cáo PDF/CSV theo GHG Protocol / ISO 14064-1</t>
  </si>
  <si>
    <t>kWh (F-B2) × EF lưới (A8) + cơ cấu nguồn phát</t>
  </si>
  <si>
    <t>Tháng / quý / năm</t>
  </si>
  <si>
    <t>Cường độ phát thải &amp; so sánh EV với diesel</t>
  </si>
  <si>
    <t>gCO₂e/km và gCO₂e/tấn-km THEO XE VÀ THEO TUYẾN; lượng CO₂ tránh được so với đường cơ sở diesel. CHIỀU 'THEO KHÁCH HÀNG' ĐÃ ĐƯA RA KHỎI PHASE 1</t>
  </si>
  <si>
    <t>Dashboard + xuất CSV</t>
  </si>
  <si>
    <t>A8 (đường cơ sở diesel, EF) + F-A6 + tải trọng từ CẢM BIẾN (thay cho khai báo)</t>
  </si>
  <si>
    <t>Tháng / quý</t>
  </si>
  <si>
    <t>THU HẸP PHẠM VI</t>
  </si>
  <si>
    <t>Chiều 'theo khách hàng' → Phase 2. Bù lại tải trọng nay lấy từ cảm biến nên gCO₂e/tấn-km chính xác hơn.</t>
  </si>
  <si>
    <t>Báo cáo bảo dưỡng định kỳ xe điện</t>
  </si>
  <si>
    <t>Xe nào sắp đến hạn, đến hạn, quá hạn và đã thực hiện bảo dưỡng</t>
  </si>
  <si>
    <t>Dashboard + xuất CSV/PDF, lọc theo trạng thái hạn</t>
  </si>
  <si>
    <t>Odometer + lịch bảo dưỡng + hồ sơ sửa chữa–bảo dưỡng</t>
  </si>
  <si>
    <t>Hùng Võ (đề xuất bổ sung). Thuộc quản trị xe nên giữ lộ trình, tách P1.5.</t>
  </si>
  <si>
    <t>Báo cáo chi phí đại tu – bảo dưỡng định kỳ – sửa chữa phát sinh</t>
  </si>
  <si>
    <t>Tách bạch 3 loại chi phí theo từng xe và toàn đội xe (bao gồm cả cá nhân và hợp đồng)</t>
  </si>
  <si>
    <t>Báo cáo CSV/PDF, lọc theo xe – loại chi phí – kỳ</t>
  </si>
  <si>
    <t>Hồ sơ sửa chữa – bảo dưỡng – thay thế + nguyên giá/khấu hao</t>
  </si>
  <si>
    <t>Hùng Võ (đề xuất bổ sung): tách bạch 3 loại chi phí theo xe và toàn đội.</t>
  </si>
  <si>
    <t>Màn hình theo dõi ca sửa chữa &amp; hồ sơ bảo hành</t>
  </si>
  <si>
    <t>Theo dõi đủ vòng: phát sinh lỗi → ghi nhận → chẩn đoán → quyết định xe có chạy tiếp được không → vào xưởng → sửa chữa → thay vật tư → hoàn thành → bàn giao → theo dõi sau sửa chữa → đánh giá → đóng hồ sơ bảo hành</t>
  </si>
  <si>
    <t>Màn hình theo dõi trạng thái + hồ sơ PDF khi đóng ca</t>
  </si>
  <si>
    <t>Hồ sơ sửa chữa (A6) + mã lỗi DTC + danh bạ đối tác</t>
  </si>
  <si>
    <t>Realtime theo ca sửa chữa</t>
  </si>
  <si>
    <t>Hùng Võ (đề xuất bổ sung). Là nơi ghi nhận kết luận 'xe có chạy tiếp được không' của Khánh WR1.</t>
  </si>
  <si>
    <t>Cảnh báo bất thường vòng đời tài sản &amp; khấu hao</t>
  </si>
  <si>
    <r>
      <rPr>
        <rFont val="Arial"/>
        <color rgb="FF1A1A1A"/>
        <sz val="9.0"/>
      </rPr>
      <t xml:space="preserve">Tổng thành/vật tư hỏng sớm hơn định mức vòng đời; chi phí sửa chữa vượt ngưỡng so với giá trị còn lại; xe sắp hết khấu hao
</t>
    </r>
    <r>
      <rPr>
        <rFont val="Arial"/>
        <color rgb="FFFF0000"/>
        <sz val="9.0"/>
      </rPr>
      <t>Khánh WR1 làm rõ hơn - tham vấn Hùng Võ</t>
    </r>
  </si>
  <si>
    <t>Alert dashboard + báo cáo tháng</t>
  </si>
  <si>
    <t>Nguyên giá &amp; khấu hao + định mức vòng đời vật tư + hồ sơ sửa chữa</t>
  </si>
  <si>
    <t>Khánh WR1: mở rộng từ quản lý sự cố sang quản lý tài sản và khấu hao.</t>
  </si>
  <si>
    <t>B3. Vận hành nền tảng (G3 Energy · CSKH · Admin/Dev)</t>
  </si>
  <si>
    <t>Trạng thái trụ/súng toàn mạng</t>
  </si>
  <si>
    <t>Available / Charging / Faulted, công suất khả dụng theo từng trụ</t>
  </si>
  <si>
    <t>Dashboard vận hành realtime</t>
  </si>
  <si>
    <t>F-C2 (OCPP)</t>
  </si>
  <si>
    <t>≤30s; độ chính xác ≥99%</t>
  </si>
  <si>
    <t>Cảnh báo trụ lỗi (Faulted)</t>
  </si>
  <si>
    <t>Trụ hỏng, mất kết nối, công suất bất thường — KÈM đơn vị quản lý và đầu mối xử lý sự cố của trạm đó</t>
  </si>
  <si>
    <t>Alert dashboard/push/email cho đội vận hành + thông tin liên hệ xử lý</t>
  </si>
  <si>
    <t>F-C2 + F-G2 + danh mục trạm (đơn vị quản lý, đầu mối)</t>
  </si>
  <si>
    <t>Realtime (phát hiện trong vài phút)</t>
  </si>
  <si>
    <t>Hùng Võ: hiển thị luôn đơn vị quản lý và đầu mối xử lý sự cố để rút ngắn thời gian xử lý.</t>
  </si>
  <si>
    <t>Sản lượng điện theo trạm</t>
  </si>
  <si>
    <t>kWh bán ra theo trạm &amp; khung giờ, phục vụ tối ưu ToU</t>
  </si>
  <si>
    <t>Báo cáo + xuất CSV</t>
  </si>
  <si>
    <t>F-B2 (phiên sạc) + F-C8</t>
  </si>
  <si>
    <t>Ngày</t>
  </si>
  <si>
    <t>kWh theo doanh nghiệp vận tải / phiên</t>
  </si>
  <si>
    <t>Điện tiêu thụ theo từng doanh nghiệp vận tải và theo phiên, phục vụ hóa đơn</t>
  </si>
  <si>
    <t>Bảng dữ liệu + CSV (chính xác theo phiên)</t>
  </si>
  <si>
    <t>F-B2 + F-C6</t>
  </si>
  <si>
    <t>Theo phiên / tháng</t>
  </si>
  <si>
    <t>Sếp Minh: khách hàng của App là công ty vận tải — đổi tên để không nhầm với chủ hàng (Phase 2).</t>
  </si>
  <si>
    <t>Báo cáo đối soát 3 chiều</t>
  </si>
  <si>
    <t>Khớp kWh giữa trụ (OCPP) ↔ xe (telematics) ↔ thanh toán</t>
  </si>
  <si>
    <t>Báo cáo tháng + alert TỰ ĐỘNG khi sai lệch ≥1%</t>
  </si>
  <si>
    <t>F-C2 + F-A1 + F-H1</t>
  </si>
  <si>
    <t>Ngày (alert) / tháng (báo cáo)</t>
  </si>
  <si>
    <t>Tài chính + Data / P0</t>
  </si>
  <si>
    <t>Dự báo tải trạm, thời gian chờ &amp; khuyến nghị phân tải</t>
  </si>
  <si>
    <t>Số xe dự kiến đến vs số súng trống; thời lượng phiên trung vị/p90 và tỷ lệ lấp đầy theo từng trụ; sai số thời gian chờ dự báo so với thực tế; đề xuất điều hướng</t>
  </si>
  <si>
    <t>Dashboard vận hành, cửa sổ 60 phút + xuất CSV</t>
  </si>
  <si>
    <t>F-C7 (vị trí, SOC, hướng đi, lịch sử) + thời lượng phiên TB + hàng đợi</t>
  </si>
  <si>
    <t>Liên tục (đo hiệu quả hằng tuần)</t>
  </si>
  <si>
    <t>GỘP bảng thời lượng phiên/thời gian chờ theo trụ vào đây — cùng một mô hình, tránh tách hai mục.</t>
  </si>
  <si>
    <t>Log biểu giá áp dụng cho từng phiên</t>
  </si>
  <si>
    <t>Phiên bản biểu giá &amp; đơn giá đã tính tiền cho mỗi phiên sạc</t>
  </si>
  <si>
    <t>Bản ghi có version, lưu ≥5 năm</t>
  </si>
  <si>
    <t>F-C8 + F-B2</t>
  </si>
  <si>
    <t>Dashboard sức khỏe thiết bị</t>
  </si>
  <si>
    <t>last_seen, firmware, SIM/data, nguồn điện, bộ nhớ, GNSS; % thiết bị khỏe mạnh</t>
  </si>
  <si>
    <t>Dashboard quản trị thiết bị</t>
  </si>
  <si>
    <t>F-J1 (heartbeat) + sức khỏe thiết bị telematics</t>
  </si>
  <si>
    <t>≤5 phút; KPI tuần</t>
  </si>
  <si>
    <t>Loan WR1: mở rộng tín hiệu sức khỏe thiết bị (nguồn điện, bộ nhớ, GNSS, eSIM).</t>
  </si>
  <si>
    <t>Cảnh báo offline &amp; tháo thiết bị</t>
  </si>
  <si>
    <r>
      <rPr>
        <rFont val="Arial"/>
        <color rgb="FF1A1A1A"/>
        <sz val="9.0"/>
      </rPr>
      <t xml:space="preserve">Phân biệt mất nguồn đột ngột (tamper) với mất sóng và với xe tắt máy
</t>
    </r>
    <r>
      <rPr>
        <rFont val="Arial"/>
        <color rgb="FFFF0000"/>
        <sz val="9.0"/>
      </rPr>
      <t>Cần nghiên cứu kỹ hơn, ngăn chặn việc tháo Tbox</t>
    </r>
  </si>
  <si>
    <t>Alert cho vận hành &amp; quản lý rủi ro</t>
  </si>
  <si>
    <t>F-J1 + F-J3 + trạng thái vận hành xe</t>
  </si>
  <si>
    <t>Realtime khi xe 'im lặng' quá ngưỡng</t>
  </si>
  <si>
    <t>Loan WR1: có trạng thái vận hành xe mới phân biệt được xe tắt máy với thiết bị bị tháo.</t>
  </si>
  <si>
    <t>An ninh + Kỹ thuật / P1</t>
  </si>
  <si>
    <t>Hàng đợi ticket &amp; SLA CSKH</t>
  </si>
  <si>
    <r>
      <rPr>
        <rFont val="Arial"/>
        <color rgb="FF1A1A1A"/>
        <sz val="9.0"/>
      </rPr>
      <t xml:space="preserve">Ticket có sẵn ngữ cảnh xe (VIN, vị trí, mã lỗi); phân loại &amp; trạng thái
</t>
    </r>
    <r>
      <rPr>
        <rFont val="Arial"/>
        <color rgb="FFFF0000"/>
        <sz val="9.0"/>
      </rPr>
      <t>Cảnh báo vượt quá thời gian xử lý</t>
    </r>
  </si>
  <si>
    <t>Hệ thống ticket + báo cáo SLA</t>
  </si>
  <si>
    <t>F-I1 + F-I2 (gộp kênh Zalo/hotline)</t>
  </si>
  <si>
    <t>Realtime; gọi lại ≤5 phút</t>
  </si>
  <si>
    <t>Lệnh điều phối tới đối tác cứu hộ–sửa chữa</t>
  </si>
  <si>
    <r>
      <rPr>
        <rFont val="Arial"/>
        <color rgb="FF1A1A1A"/>
        <sz val="9.0"/>
      </rPr>
      <t xml:space="preserve">Vị trí, VIN, mã lỗi, ảnh hiện trường, năng lực yêu cầu
</t>
    </r>
    <r>
      <rPr>
        <rFont val="Arial"/>
        <color rgb="FFFF0000"/>
        <sz val="9.0"/>
      </rPr>
      <t>Điều phối tự động</t>
    </r>
  </si>
  <si>
    <t>API/bản tin CHUẨN HÓA (đổi đối tác không sửa mã nguồn)</t>
  </si>
  <si>
    <t>F-I4 + danh bạ đối tác + F-A4</t>
  </si>
  <si>
    <t>Ngay khi CSKH tiếp nhận; SLA nhận việc ≤15 phút</t>
  </si>
  <si>
    <t>Audit log truy cập dữ liệu cá nhân &amp; nhạy cảm</t>
  </si>
  <si>
    <t>Ai xem, tải hoặc trích xuất dữ liệu nào, khi nào, vì ticket hoặc lý do gì. PHẠM VI: dữ liệu vị trí · hình ảnh người lái · clip camera</t>
  </si>
  <si>
    <t>Log bất biến, truy vết được — hình ảnh &amp; dữ liệu sinh trắc là dữ liệu cá nhân NHẠY CẢM theo NĐ 13/2023</t>
  </si>
  <si>
    <t>Hệ thống RBAC + F-F1 + kho video (A7)</t>
  </si>
  <si>
    <t>Mỗi lần truy cập</t>
  </si>
  <si>
    <t>GỘP hai mục audit log (dữ liệu vị trí và video) thành một cơ chế có phạm vi — tránh làm hai hệ log.</t>
  </si>
  <si>
    <t>Báo cáo giám sát luồng dữ liệu ra ngoài lãnh thổ</t>
  </si>
  <si>
    <r>
      <rPr>
        <rFont val="Arial"/>
        <color rgb="FF1A1A1A"/>
        <sz val="9.0"/>
      </rPr>
      <t xml:space="preserve">Dữ liệu nào rời khỏi xe đi tới đâu; phát hiện kết nối tới máy chủ nước ngoài không khai báo; đối chiếu với cam kết của NSX; trạng thái quyền thu hồi
</t>
    </r>
    <r>
      <rPr>
        <rFont val="Arial"/>
        <color rgb="FFFF0000"/>
        <sz val="9.0"/>
      </rPr>
      <t>Anh Đức nghiên cứu thêm</t>
    </r>
  </si>
  <si>
    <t>Báo cáo + alert khi phát hiện endpoint lạ; nhật ký lưu lượng giữ ≥1 năm</t>
  </si>
  <si>
    <t>Giám sát lưu lượng T-Box/BMS trong pilot + bản đồ luồng dữ liệu</t>
  </si>
  <si>
    <t>Liên tục trong pilot; báo cáo tháng</t>
  </si>
  <si>
    <t>Sếp Minh: kiểm tra dữ liệu có gửi ra nước ngoài không — kiểm chứng bằng giám sát lưu lượng trong pilot.</t>
  </si>
  <si>
    <t>Dashboard sức khỏe hệ thống &amp; pipeline</t>
  </si>
  <si>
    <r>
      <rPr>
        <rFont val="Arial"/>
        <color rgb="FF1A1A1A"/>
        <sz val="9.0"/>
      </rPr>
      <t xml:space="preserve">Uptime, độ trễ ingest, gián đoạn luồng dữ liệu, chất lượng dữ liệu
</t>
    </r>
    <r>
      <rPr>
        <rFont val="Arial"/>
        <color rgb="FFFF0000"/>
        <sz val="9.0"/>
      </rPr>
      <t>Kiểm soát claim, bug, lỗi từ khách hàng</t>
    </r>
  </si>
  <si>
    <t>Prometheus/Grafana + log tập trung, alert vận hành</t>
  </si>
  <si>
    <t>F-G3 + hạ tầng</t>
  </si>
  <si>
    <t>Báo cáo doanh thu nền tảng</t>
  </si>
  <si>
    <r>
      <rPr>
        <rFont val="Arial"/>
        <color rgb="FF1A1A1A"/>
        <sz val="9.0"/>
      </rPr>
      <t xml:space="preserve">Doanh thu điện qua app + thuê bao SaaS theo xe/tháng (tách gói Cơ bản / Nâng cao)
</t>
    </r>
    <r>
      <rPr>
        <rFont val="Arial"/>
        <color rgb="FFFF0000"/>
        <sz val="9.0"/>
      </rPr>
      <t>Energy + Network</t>
    </r>
  </si>
  <si>
    <t>Báo cáo CSV/PDF</t>
  </si>
  <si>
    <t>F-H1, F-H3, F-H4 + gói dịch vụ</t>
  </si>
  <si>
    <t>Khánh WR1: bóc tách doanh thu theo gói Cơ bản / Nâng cao để đánh giá hiệu quả gói ADAS.</t>
  </si>
  <si>
    <t>Báo cáo chất lượng mô hình dự báo</t>
  </si>
  <si>
    <r>
      <rPr>
        <rFont val="Arial"/>
        <color rgb="FF1A1A1A"/>
        <sz val="9.0"/>
      </rPr>
      <t xml:space="preserve">Sai số dự báo quãng đường (p50 ≤10%, p90 ≤15%); độ chính xác dự báo tải trạm VÀ dự báo thời gian chờ
</t>
    </r>
    <r>
      <rPr>
        <rFont val="Arial"/>
        <color rgb="FFFF0000"/>
        <sz val="9.0"/>
      </rPr>
      <t>Phục vụ Phase 2, cần nghiên cứu thêm</t>
    </r>
  </si>
  <si>
    <t>Báo cáo đo lường + baseline so sánh</t>
  </si>
  <si>
    <t>F-A7, F-C7, F-D6 + thời gian chờ dự báo vs thực tế</t>
  </si>
  <si>
    <t>Bổ sung theo dõi sai số 2 dự báo mới: thời gian sử dụng còn lại và thời gian chờ tại trạm.</t>
  </si>
  <si>
    <t>Kho dữ liệu chuẩn hóa cho AI &amp; BI</t>
  </si>
  <si>
    <r>
      <rPr>
        <rFont val="Arial"/>
        <color rgb="FF1A1A1A"/>
        <sz val="9.0"/>
      </rPr>
      <t xml:space="preserve">Dữ liệu đã chuẩn hóa theo xe/doanh nghiệp/tuyến, có schema version VÀ các khóa dự trữ trip_id / shipment_id / customer_id (để trống ở Phase 1)
</t>
    </r>
    <r>
      <rPr>
        <rFont val="Arial"/>
        <color rgb="FFFF0000"/>
        <sz val="9.0"/>
      </rPr>
      <t>Phục vụ Phase 2, cần nghiên cứu thêm</t>
    </r>
  </si>
  <si>
    <t>Lake/Warehouse + time-series; hot 12 tháng, cold 5 năm</t>
  </si>
  <si>
    <t>Toàn bộ nguồn P1 qua pipeline ETL (F-G3)</t>
  </si>
  <si>
    <t>Liên tục</t>
  </si>
  <si>
    <t>Dành sẵn khóa Phase 2 để không phải làm lại kho dữ liệu.</t>
  </si>
  <si>
    <t>Kiến trúc + Data / P0</t>
  </si>
  <si>
    <t>Truyền dữ liệu hành trình &amp; vi phạm về cơ quan quản lý</t>
  </si>
  <si>
    <r>
      <rPr>
        <rFont val="Arial"/>
        <color rgb="FF1A1A1A"/>
        <sz val="9.0"/>
      </rPr>
      <t xml:space="preserve">Dữ liệu hành trình theo thời gian thực; dữ liệu hành vi vi phạm và hành vi gây mất an toàn của lái xe
</t>
    </r>
    <r>
      <rPr>
        <rFont val="Arial"/>
        <color rgb="FFFF0000"/>
        <sz val="9.0"/>
      </rPr>
      <t>Cân nhắc lấn sân thiết bị theo dõi hợp quy</t>
    </r>
  </si>
  <si>
    <t>Bản tin chuẩn theo quy chuẩn → máy chủ dịch vụ → máy chủ Cục CSGT, có biên nhận</t>
  </si>
  <si>
    <t>Thiết bị hợp quy (A7) — theo NĐ 319/2026, hiệu lực 1/7/2027</t>
  </si>
  <si>
    <t>Báo cáo tuân thủ lưu trữ dữ liệu camera</t>
  </si>
  <si>
    <r>
      <rPr>
        <rFont val="Arial"/>
        <color rgb="FF1A1A1A"/>
        <sz val="9.0"/>
      </rPr>
      <t xml:space="preserve">Đối chiếu thời hạn lưu bắt buộc: hành trình ≥30 ngày trên thiết bị / ≥1 năm máy chủ dịch vụ / ≥3 năm Cục CSGT; hình ảnh người lái ≥3 ngày trên thiết bị; dữ liệu vi phạm ≥3 tháng
</t>
    </r>
    <r>
      <rPr>
        <rFont val="Arial"/>
        <color rgb="FFFF0000"/>
        <sz val="9.0"/>
      </rPr>
      <t>Kiểm tra lại đã có đối tác lưu trữ chưa (vietmap)</t>
    </r>
  </si>
  <si>
    <t>Báo cáo tuân thủ + cảnh báo khi sắp hết dung lượng hoặc quá hạn</t>
  </si>
  <si>
    <t>Chính sách retention &amp; log lưu trữ (A7)</t>
  </si>
  <si>
    <t>Cảnh báo camera lỗi, bị che hoặc mất tín hiệu</t>
  </si>
  <si>
    <r>
      <rPr>
        <rFont val="Arial"/>
        <color rgb="FF1A1A1A"/>
        <sz val="9.0"/>
      </rPr>
      <t xml:space="preserve">Phân biệt che camera cố ý với hỏng hóc thiết bị và mất sóng
</t>
    </r>
    <r>
      <rPr>
        <rFont val="Arial"/>
        <color rgb="FFFF0000"/>
        <sz val="9.0"/>
      </rPr>
      <t>Trách nhiệm Vietmap</t>
    </r>
  </si>
  <si>
    <t>Heartbeat camera (A7)</t>
  </si>
  <si>
    <t>Bộ dữ liệu kiểm kê khí nhà kính cấp doanh nghiệp</t>
  </si>
  <si>
    <t>Tổng kWh, cơ cấu nguồn phát, tCO₂e theo kỳ; số liệu phục vụ nộp báo cáo kiểm kê (Scope 1 &amp; 2)</t>
  </si>
  <si>
    <t>Bộ dữ liệu + báo cáo theo mẫu quy định</t>
  </si>
  <si>
    <t>A8 — nghĩa vụ theo NĐ 06/2022 (sửa đổi NĐ 119/2025, NĐ 83/2026) &amp; QĐ 42/2026/QĐ-TTg (hiệu lực 25/9/2026)</t>
  </si>
  <si>
    <t>Năm (chuẩn bị số liệu theo tháng)</t>
  </si>
  <si>
    <t>Log phiên bản hệ số phát thải đã áp dụng</t>
  </si>
  <si>
    <t>EF nào, phiên bản nào, áp cho kỳ tính nào — bảo đảm tính lại được khi EF được công bố lại</t>
  </si>
  <si>
    <t>Bản ghi có version, lưu ≥5 năm (tương tự yêu cầu NF-19 với biểu giá điện)</t>
  </si>
  <si>
    <t>Bảng EF (A8)</t>
  </si>
  <si>
    <t>Mỗi kỳ tính &amp; khi cập nhật EF</t>
  </si>
  <si>
    <t>Điều kiện bắt buộc để Phase 2 tính lại phát thải cho dữ liệu quá khứ.</t>
  </si>
  <si>
    <t>Hồ sơ MRV chuẩn bị tín chỉ carbon</t>
  </si>
  <si>
    <t>Dữ liệu đo đạc – báo cáo – thẩm định cho dự án giảm phát thải từ chuyển đổi sang xe điện</t>
  </si>
  <si>
    <t>Bộ dữ liệu + tài liệu phương pháp luận</t>
  </si>
  <si>
    <t>A8 + phiên sạc (F-B2) + dữ liệu chuyến</t>
  </si>
  <si>
    <t>Quý / năm (khi triển khai)</t>
  </si>
  <si>
    <t>CHÚ GIẢI</t>
  </si>
  <si>
    <t>Mục hoàn toàn mới, phát sinh từ ý kiến đóng góp — không có trong danh mục cũ.</t>
  </si>
  <si>
    <t>Mục đã có, được bổ sung trường hoặc đổi nguồn/cách làm theo góp ý.</t>
  </si>
  <si>
    <t>Hai mục trùng nội dung trong bản cũ đã gộp làm một — cần nhóm dự án rà lại.</t>
  </si>
  <si>
    <t>Mục giữ lại nhưng bỏ bớt chiều phân tích thuộc Phase 2.</t>
  </si>
  <si>
    <t>Mục chuyển từ gói cơ bản sang gói nâng cao (chỉ xe có ADAS).</t>
  </si>
  <si>
    <t>Không có góp ý hoặc góp ý không làm thay đổi nội dung mục.</t>
  </si>
  <si>
    <t>Rà soát toàn bộ hồ sơ</t>
  </si>
  <si>
    <t>APP riêng cho đội bảo hành bảo dưỡng</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</si>
</sst>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4.0"/>
      <color rgb="FFFFFFFF"/>
      <name val="Arial"/>
    </font>
    <font/>
    <font>
      <b/>
      <sz val="9.0"/>
      <color rgb="FF7D3C00"/>
      <name val="Arial"/>
    </font>
    <font>
      <b/>
      <sz val="9.0"/>
      <color rgb="FFB03A2E"/>
      <name val="Arial"/>
    </font>
    <font>
      <b/>
      <sz val="10.0"/>
      <color rgb="FFFFFFFF"/>
      <name val="Arial"/>
    </font>
    <font>
      <b/>
      <sz val="9.0"/>
      <color rgb="FF1A1A1A"/>
      <name val="Arial"/>
    </font>
    <font>
      <b/>
      <sz val="10.0"/>
      <color theme="1"/>
      <name val="Arial"/>
    </font>
    <font>
      <b/>
      <sz val="9.0"/>
      <color theme="1"/>
      <name val="Arial"/>
    </font>
    <font>
      <sz val="9.0"/>
      <color theme="1"/>
      <name val="Arial"/>
    </font>
    <font>
      <sz val="9.0"/>
      <color rgb="FF1A1A1A"/>
      <name val="Arial"/>
    </font>
    <font>
      <b/>
      <sz val="10.0"/>
      <color rgb="FF1F4E79"/>
      <name val="Arial"/>
    </font>
    <font>
      <sz val="9.0"/>
      <color rgb="FF1F4E79"/>
      <name val="Arial"/>
    </font>
    <font>
      <b/>
      <sz val="9.0"/>
      <color rgb="FF1F4E79"/>
      <name val="Arial"/>
    </font>
    <font>
      <sz val="9.0"/>
      <color rgb="FF7D6608"/>
      <name val="Arial"/>
    </font>
    <font>
      <color theme="1"/>
      <name val="Calibri"/>
      <scheme val="minor"/>
    </font>
    <font>
      <b/>
      <sz val="10.0"/>
      <color rgb="FF1F3B2C"/>
      <name val="Arial"/>
    </font>
    <font>
      <b/>
      <color rgb="FFFF0000"/>
      <name val="Calibri"/>
      <scheme val="minor"/>
    </font>
  </fonts>
  <fills count="13">
    <fill>
      <patternFill patternType="none"/>
    </fill>
    <fill>
      <patternFill patternType="lightGray"/>
    </fill>
    <fill>
      <patternFill patternType="solid">
        <fgColor rgb="FFB35C00"/>
        <bgColor rgb="FFB35C00"/>
      </patternFill>
    </fill>
    <fill>
      <patternFill patternType="solid">
        <fgColor rgb="FF1F3B2C"/>
        <bgColor rgb="FF1F3B2C"/>
      </patternFill>
    </fill>
    <fill>
      <patternFill patternType="solid">
        <fgColor rgb="FF2E6B4F"/>
        <bgColor rgb="FF2E6B4F"/>
      </patternFill>
    </fill>
    <fill>
      <patternFill patternType="solid">
        <fgColor rgb="FFFDE7E9"/>
        <bgColor rgb="FFFDE7E9"/>
      </patternFill>
    </fill>
    <fill>
      <patternFill patternType="solid">
        <fgColor rgb="FFFFF1E6"/>
        <bgColor rgb="FFFFF1E6"/>
      </patternFill>
    </fill>
    <fill>
      <patternFill patternType="solid">
        <fgColor rgb="FFF4F9FD"/>
        <bgColor rgb="FFF4F9FD"/>
      </patternFill>
    </fill>
    <fill>
      <patternFill patternType="solid">
        <fgColor rgb="FFBF9000"/>
        <bgColor rgb="FFBF9000"/>
      </patternFill>
    </fill>
    <fill>
      <patternFill patternType="solid">
        <fgColor rgb="FFE8F5E9"/>
        <bgColor rgb="FFE8F5E9"/>
      </patternFill>
    </fill>
    <fill>
      <patternFill patternType="solid">
        <fgColor rgb="FFFFF8E1"/>
        <bgColor rgb="FFFFF8E1"/>
      </patternFill>
    </fill>
    <fill>
      <patternFill patternType="solid">
        <fgColor rgb="FFEDE7F6"/>
        <bgColor rgb="FFEDE7F6"/>
      </patternFill>
    </fill>
    <fill>
      <patternFill patternType="solid">
        <fgColor rgb="FFB7B7B7"/>
        <bgColor rgb="FFB7B7B7"/>
      </patternFill>
    </fill>
  </fills>
  <borders count="9">
    <border/>
    <border>
      <left/>
      <top/>
      <bottom/>
    </border>
    <border>
      <top/>
      <bottom/>
    </border>
    <border>
      <right/>
      <top/>
      <bottom/>
    </border>
    <border>
      <bottom style="thin">
        <color rgb="FFD0D7DE"/>
      </bottom>
    </border>
    <border>
      <left style="thin">
        <color rgb="FFD0D7DE"/>
      </left>
      <right style="thin">
        <color rgb="FFD0D7DE"/>
      </right>
      <top style="thin">
        <color rgb="FFD0D7DE"/>
      </top>
      <bottom style="thin">
        <color rgb="FFD0D7DE"/>
      </bottom>
    </border>
    <border>
      <left style="thin">
        <color rgb="FFD0D7DE"/>
      </left>
      <right style="thin">
        <color rgb="FFD0D7DE"/>
      </right>
      <top style="medium">
        <color rgb="FF2E6B4F"/>
      </top>
      <bottom style="thin">
        <color rgb="FFD0D7DE"/>
      </bottom>
    </border>
    <border>
      <left style="thin">
        <color rgb="FFD0D7DE"/>
      </left>
      <top style="thin">
        <color rgb="FFD0D7DE"/>
      </top>
      <bottom style="thin">
        <color rgb="FFD0D7DE"/>
      </bottom>
    </border>
    <border>
      <right style="thin">
        <color rgb="FFD0D7DE"/>
      </right>
      <top style="thin">
        <color rgb="FFD0D7DE"/>
      </top>
      <bottom style="thin">
        <color rgb="FFD0D7DE"/>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3" fontId="1" numFmtId="0" xfId="0" applyAlignment="1" applyBorder="1" applyFill="1" applyFont="1">
      <alignment horizontal="left" vertical="center"/>
    </xf>
    <xf borderId="2" fillId="0" fontId="2" numFmtId="0" xfId="0" applyBorder="1" applyFont="1"/>
    <xf borderId="3" fillId="0" fontId="2" numFmtId="0" xfId="0" applyBorder="1" applyFont="1"/>
    <xf borderId="4" fillId="0" fontId="3" numFmtId="0" xfId="0" applyAlignment="1" applyBorder="1" applyFont="1">
      <alignment horizontal="left" shrinkToFit="0" vertical="center" wrapText="1"/>
    </xf>
    <xf borderId="0" fillId="0" fontId="4" numFmtId="0" xfId="0" applyAlignment="1" applyFont="1">
      <alignment horizontal="left" shrinkToFit="0" vertical="center" wrapText="1"/>
    </xf>
    <xf borderId="4" fillId="0" fontId="2" numFmtId="0" xfId="0" applyBorder="1" applyFont="1"/>
    <xf borderId="5" fillId="4" fontId="5" numFmtId="0" xfId="0" applyAlignment="1" applyBorder="1" applyFill="1" applyFont="1">
      <alignment horizontal="center" shrinkToFit="0" vertical="center" wrapText="1"/>
    </xf>
    <xf borderId="5" fillId="2" fontId="5" numFmtId="0" xfId="0" applyAlignment="1" applyBorder="1" applyFill="1" applyFont="1">
      <alignment horizontal="center" shrinkToFit="0" vertical="center" wrapText="1"/>
    </xf>
    <xf borderId="5" fillId="5" fontId="6" numFmtId="0" xfId="0" applyAlignment="1" applyBorder="1" applyFill="1" applyFont="1">
      <alignment horizontal="center" shrinkToFit="0" vertical="top" wrapText="1"/>
    </xf>
    <xf borderId="0" fillId="0" fontId="7" numFmtId="0" xfId="0" applyFont="1"/>
    <xf borderId="5" fillId="6" fontId="8" numFmtId="0" xfId="0" applyAlignment="1" applyBorder="1" applyFill="1" applyFont="1">
      <alignment horizontal="center" shrinkToFit="0" vertical="top" wrapText="1"/>
    </xf>
    <xf borderId="5" fillId="5" fontId="6" numFmtId="0" xfId="0" applyAlignment="1" applyBorder="1" applyFill="1" applyFont="1">
      <alignment horizontal="left" shrinkToFit="0" vertical="top" wrapText="1"/>
    </xf>
    <xf borderId="5" fillId="6" fontId="9" numFmtId="0" xfId="0" applyAlignment="1" applyBorder="1" applyFill="1" applyFont="1">
      <alignment horizontal="left" shrinkToFit="0" vertical="top" wrapText="1"/>
    </xf>
    <xf borderId="5" fillId="5" fontId="10" numFmtId="0" xfId="0" applyAlignment="1" applyBorder="1" applyFill="1" applyFont="1">
      <alignment horizontal="left" shrinkToFit="0" vertical="top" wrapText="1"/>
    </xf>
    <xf borderId="5" fillId="6" fontId="8" numFmtId="0" xfId="0" applyAlignment="1" applyBorder="1" applyFill="1" applyFont="1">
      <alignment horizontal="left" shrinkToFit="0" vertical="top" wrapText="1"/>
    </xf>
    <xf borderId="5" fillId="5" fontId="4" numFmtId="0" xfId="0" applyAlignment="1" applyBorder="1" applyFill="1" applyFont="1">
      <alignment horizontal="center" shrinkToFit="0" vertical="top" wrapText="1"/>
    </xf>
    <xf borderId="5" fillId="7" fontId="6" numFmtId="0" xfId="0" applyAlignment="1" applyBorder="1" applyFill="1" applyFont="1">
      <alignment horizontal="center" shrinkToFit="0" vertical="top" wrapText="1"/>
    </xf>
    <xf borderId="5" fillId="7" fontId="6" numFmtId="0" xfId="0" applyAlignment="1" applyBorder="1" applyFill="1" applyFont="1">
      <alignment horizontal="left" shrinkToFit="0" vertical="top" wrapText="1"/>
    </xf>
    <xf borderId="5" fillId="7" fontId="10" numFmtId="0" xfId="0" applyAlignment="1" applyBorder="1" applyFill="1" applyFont="1">
      <alignment horizontal="left" shrinkToFit="0" vertical="top" wrapText="1"/>
    </xf>
    <xf borderId="0" fillId="0" fontId="11" numFmtId="0" xfId="0" applyFont="1"/>
    <xf borderId="5" fillId="8" fontId="5" numFmtId="0" xfId="0" applyAlignment="1" applyBorder="1" applyFill="1" applyFont="1">
      <alignment horizontal="center" shrinkToFit="0" vertical="center" wrapText="1"/>
    </xf>
    <xf borderId="6" fillId="7" fontId="10" numFmtId="0" xfId="0" applyAlignment="1" applyBorder="1" applyFill="1" applyFont="1">
      <alignment horizontal="center" shrinkToFit="0" vertical="top" wrapText="1"/>
    </xf>
    <xf borderId="6" fillId="7" fontId="12" numFmtId="0" xfId="0" applyAlignment="1" applyBorder="1" applyFill="1" applyFont="1">
      <alignment horizontal="center" shrinkToFit="0" vertical="top" wrapText="1"/>
    </xf>
    <xf borderId="6" fillId="7" fontId="13" numFmtId="0" xfId="0" applyAlignment="1" applyBorder="1" applyFill="1" applyFont="1">
      <alignment horizontal="left" shrinkToFit="0" vertical="top" wrapText="1"/>
    </xf>
    <xf borderId="6" fillId="7" fontId="6" numFmtId="0" xfId="0" applyAlignment="1" applyBorder="1" applyFill="1" applyFont="1">
      <alignment horizontal="left" shrinkToFit="0" vertical="top" wrapText="1"/>
    </xf>
    <xf borderId="6" fillId="7" fontId="10" numFmtId="0" xfId="0" applyAlignment="1" applyBorder="1" applyFill="1" applyFont="1">
      <alignment horizontal="left" shrinkToFit="0" vertical="top" wrapText="1"/>
    </xf>
    <xf borderId="6" fillId="7" fontId="10" numFmtId="0" xfId="0" applyAlignment="1" applyBorder="1" applyFill="1" applyFont="1">
      <alignment horizontal="left" readingOrder="0" shrinkToFit="0" vertical="top" wrapText="1"/>
    </xf>
    <xf borderId="6" fillId="7" fontId="14" numFmtId="0" xfId="0" applyAlignment="1" applyBorder="1" applyFill="1" applyFont="1">
      <alignment horizontal="left" shrinkToFit="0" vertical="top" wrapText="1"/>
    </xf>
    <xf borderId="5" fillId="9" fontId="10" numFmtId="0" xfId="0" applyAlignment="1" applyBorder="1" applyFill="1" applyFont="1">
      <alignment horizontal="center" shrinkToFit="0" vertical="top" wrapText="1"/>
    </xf>
    <xf borderId="5" fillId="9" fontId="12" numFmtId="0" xfId="0" applyAlignment="1" applyBorder="1" applyFill="1" applyFont="1">
      <alignment horizontal="center" shrinkToFit="0" vertical="top" wrapText="1"/>
    </xf>
    <xf borderId="5" fillId="9" fontId="12" numFmtId="0" xfId="0" applyAlignment="1" applyBorder="1" applyFill="1" applyFont="1">
      <alignment horizontal="left" shrinkToFit="0" vertical="top" wrapText="1"/>
    </xf>
    <xf borderId="5" fillId="9" fontId="6" numFmtId="0" xfId="0" applyAlignment="1" applyBorder="1" applyFill="1" applyFont="1">
      <alignment horizontal="left" shrinkToFit="0" vertical="top" wrapText="1"/>
    </xf>
    <xf borderId="5" fillId="9" fontId="10" numFmtId="0" xfId="0" applyAlignment="1" applyBorder="1" applyFill="1" applyFont="1">
      <alignment horizontal="left" shrinkToFit="0" vertical="top" wrapText="1"/>
    </xf>
    <xf borderId="5" fillId="9" fontId="6" numFmtId="0" xfId="0" applyAlignment="1" applyBorder="1" applyFill="1" applyFont="1">
      <alignment horizontal="center" shrinkToFit="0" vertical="top" wrapText="1"/>
    </xf>
    <xf borderId="5" fillId="9" fontId="14" numFmtId="0" xfId="0" applyAlignment="1" applyBorder="1" applyFill="1" applyFont="1">
      <alignment horizontal="left" shrinkToFit="0" vertical="top" wrapText="1"/>
    </xf>
    <xf borderId="5" fillId="10" fontId="10" numFmtId="0" xfId="0" applyAlignment="1" applyBorder="1" applyFill="1" applyFont="1">
      <alignment horizontal="center" shrinkToFit="0" vertical="top" wrapText="1"/>
    </xf>
    <xf borderId="5" fillId="10" fontId="12" numFmtId="0" xfId="0" applyAlignment="1" applyBorder="1" applyFill="1" applyFont="1">
      <alignment horizontal="center" shrinkToFit="0" vertical="top" wrapText="1"/>
    </xf>
    <xf borderId="5" fillId="10" fontId="12" numFmtId="0" xfId="0" applyAlignment="1" applyBorder="1" applyFill="1" applyFont="1">
      <alignment horizontal="left" shrinkToFit="0" vertical="top" wrapText="1"/>
    </xf>
    <xf borderId="5" fillId="10" fontId="6" numFmtId="0" xfId="0" applyAlignment="1" applyBorder="1" applyFill="1" applyFont="1">
      <alignment horizontal="left" shrinkToFit="0" vertical="top" wrapText="1"/>
    </xf>
    <xf borderId="5" fillId="10" fontId="10" numFmtId="0" xfId="0" applyAlignment="1" applyBorder="1" applyFill="1" applyFont="1">
      <alignment horizontal="left" shrinkToFit="0" vertical="top" wrapText="1"/>
    </xf>
    <xf borderId="5" fillId="10" fontId="6" numFmtId="0" xfId="0" applyAlignment="1" applyBorder="1" applyFill="1" applyFont="1">
      <alignment horizontal="center" shrinkToFit="0" vertical="top" wrapText="1"/>
    </xf>
    <xf borderId="5" fillId="10" fontId="14" numFmtId="0" xfId="0" applyAlignment="1" applyBorder="1" applyFill="1" applyFont="1">
      <alignment horizontal="left" shrinkToFit="0" vertical="top" wrapText="1"/>
    </xf>
    <xf borderId="5" fillId="10" fontId="10" numFmtId="0" xfId="0" applyAlignment="1" applyBorder="1" applyFill="1" applyFont="1">
      <alignment horizontal="left" readingOrder="0" shrinkToFit="0" vertical="top" wrapText="1"/>
    </xf>
    <xf borderId="5" fillId="7" fontId="10" numFmtId="0" xfId="0" applyAlignment="1" applyBorder="1" applyFill="1" applyFont="1">
      <alignment horizontal="center" shrinkToFit="0" vertical="top" wrapText="1"/>
    </xf>
    <xf borderId="5" fillId="7" fontId="12" numFmtId="0" xfId="0" applyAlignment="1" applyBorder="1" applyFill="1" applyFont="1">
      <alignment horizontal="center" shrinkToFit="0" vertical="top" wrapText="1"/>
    </xf>
    <xf borderId="5" fillId="7" fontId="12" numFmtId="0" xfId="0" applyAlignment="1" applyBorder="1" applyFill="1" applyFont="1">
      <alignment horizontal="left" shrinkToFit="0" vertical="top" wrapText="1"/>
    </xf>
    <xf borderId="5" fillId="7" fontId="10" numFmtId="0" xfId="0" applyAlignment="1" applyBorder="1" applyFill="1" applyFont="1">
      <alignment horizontal="left" readingOrder="0" shrinkToFit="0" vertical="top" wrapText="1"/>
    </xf>
    <xf borderId="5" fillId="7" fontId="14" numFmtId="0" xfId="0" applyAlignment="1" applyBorder="1" applyFill="1" applyFont="1">
      <alignment horizontal="left" shrinkToFit="0" vertical="top" wrapText="1"/>
    </xf>
    <xf borderId="5" fillId="9" fontId="10" numFmtId="0" xfId="0" applyAlignment="1" applyBorder="1" applyFill="1" applyFont="1">
      <alignment horizontal="left" readingOrder="0" shrinkToFit="0" vertical="top" wrapText="1"/>
    </xf>
    <xf borderId="6" fillId="10" fontId="10" numFmtId="0" xfId="0" applyAlignment="1" applyBorder="1" applyFill="1" applyFont="1">
      <alignment horizontal="center" shrinkToFit="0" vertical="top" wrapText="1"/>
    </xf>
    <xf borderId="6" fillId="10" fontId="12" numFmtId="0" xfId="0" applyAlignment="1" applyBorder="1" applyFill="1" applyFont="1">
      <alignment horizontal="center" shrinkToFit="0" vertical="top" wrapText="1"/>
    </xf>
    <xf borderId="6" fillId="10" fontId="13" numFmtId="0" xfId="0" applyAlignment="1" applyBorder="1" applyFill="1" applyFont="1">
      <alignment horizontal="left" shrinkToFit="0" vertical="top" wrapText="1"/>
    </xf>
    <xf borderId="6" fillId="10" fontId="6" numFmtId="0" xfId="0" applyAlignment="1" applyBorder="1" applyFill="1" applyFont="1">
      <alignment horizontal="left" shrinkToFit="0" vertical="top" wrapText="1"/>
    </xf>
    <xf borderId="6" fillId="10" fontId="10" numFmtId="0" xfId="0" applyAlignment="1" applyBorder="1" applyFill="1" applyFont="1">
      <alignment horizontal="left" readingOrder="0" shrinkToFit="0" vertical="top" wrapText="1"/>
    </xf>
    <xf borderId="6" fillId="10" fontId="10" numFmtId="0" xfId="0" applyAlignment="1" applyBorder="1" applyFill="1" applyFont="1">
      <alignment horizontal="left" shrinkToFit="0" vertical="top" wrapText="1"/>
    </xf>
    <xf borderId="6" fillId="10" fontId="6" numFmtId="0" xfId="0" applyAlignment="1" applyBorder="1" applyFill="1" applyFont="1">
      <alignment horizontal="center" shrinkToFit="0" vertical="top" wrapText="1"/>
    </xf>
    <xf borderId="6" fillId="10" fontId="14" numFmtId="0" xfId="0" applyAlignment="1" applyBorder="1" applyFill="1" applyFont="1">
      <alignment horizontal="left" shrinkToFit="0" vertical="top" wrapText="1"/>
    </xf>
    <xf borderId="5" fillId="5" fontId="10" numFmtId="0" xfId="0" applyAlignment="1" applyBorder="1" applyFill="1" applyFont="1">
      <alignment horizontal="center" shrinkToFit="0" vertical="top" wrapText="1"/>
    </xf>
    <xf borderId="5" fillId="5" fontId="12" numFmtId="0" xfId="0" applyAlignment="1" applyBorder="1" applyFill="1" applyFont="1">
      <alignment horizontal="center" shrinkToFit="0" vertical="top" wrapText="1"/>
    </xf>
    <xf borderId="5" fillId="5" fontId="12" numFmtId="0" xfId="0" applyAlignment="1" applyBorder="1" applyFill="1" applyFont="1">
      <alignment horizontal="left" shrinkToFit="0" vertical="top" wrapText="1"/>
    </xf>
    <xf borderId="5" fillId="5" fontId="14" numFmtId="0" xfId="0" applyAlignment="1" applyBorder="1" applyFill="1" applyFont="1">
      <alignment horizontal="left" shrinkToFit="0" vertical="top" wrapText="1"/>
    </xf>
    <xf borderId="5" fillId="11" fontId="10" numFmtId="0" xfId="0" applyAlignment="1" applyBorder="1" applyFill="1" applyFont="1">
      <alignment horizontal="center" shrinkToFit="0" vertical="top" wrapText="1"/>
    </xf>
    <xf borderId="5" fillId="11" fontId="12" numFmtId="0" xfId="0" applyAlignment="1" applyBorder="1" applyFill="1" applyFont="1">
      <alignment horizontal="center" shrinkToFit="0" vertical="top" wrapText="1"/>
    </xf>
    <xf borderId="5" fillId="11" fontId="12" numFmtId="0" xfId="0" applyAlignment="1" applyBorder="1" applyFill="1" applyFont="1">
      <alignment horizontal="left" shrinkToFit="0" vertical="top" wrapText="1"/>
    </xf>
    <xf borderId="5" fillId="11" fontId="6" numFmtId="0" xfId="0" applyAlignment="1" applyBorder="1" applyFill="1" applyFont="1">
      <alignment horizontal="left" shrinkToFit="0" vertical="top" wrapText="1"/>
    </xf>
    <xf borderId="5" fillId="11" fontId="10" numFmtId="0" xfId="0" applyAlignment="1" applyBorder="1" applyFill="1" applyFont="1">
      <alignment horizontal="left" shrinkToFit="0" vertical="top" wrapText="1"/>
    </xf>
    <xf borderId="5" fillId="11" fontId="6" numFmtId="0" xfId="0" applyAlignment="1" applyBorder="1" applyFill="1" applyFont="1">
      <alignment horizontal="center" shrinkToFit="0" vertical="top" wrapText="1"/>
    </xf>
    <xf borderId="5" fillId="11" fontId="14" numFmtId="0" xfId="0" applyAlignment="1" applyBorder="1" applyFill="1" applyFont="1">
      <alignment horizontal="left" shrinkToFit="0" vertical="top" wrapText="1"/>
    </xf>
    <xf borderId="5" fillId="12" fontId="10" numFmtId="0" xfId="0" applyAlignment="1" applyBorder="1" applyFill="1" applyFont="1">
      <alignment horizontal="center" shrinkToFit="0" vertical="top" wrapText="1"/>
    </xf>
    <xf borderId="5" fillId="12" fontId="12" numFmtId="0" xfId="0" applyAlignment="1" applyBorder="1" applyFill="1" applyFont="1">
      <alignment horizontal="center" shrinkToFit="0" vertical="top" wrapText="1"/>
    </xf>
    <xf borderId="5" fillId="12" fontId="12" numFmtId="0" xfId="0" applyAlignment="1" applyBorder="1" applyFill="1" applyFont="1">
      <alignment horizontal="left" shrinkToFit="0" vertical="top" wrapText="1"/>
    </xf>
    <xf borderId="5" fillId="12" fontId="6" numFmtId="0" xfId="0" applyAlignment="1" applyBorder="1" applyFill="1" applyFont="1">
      <alignment horizontal="left" shrinkToFit="0" vertical="top" wrapText="1"/>
    </xf>
    <xf borderId="5" fillId="12" fontId="10" numFmtId="0" xfId="0" applyAlignment="1" applyBorder="1" applyFill="1" applyFont="1">
      <alignment horizontal="left" readingOrder="0" shrinkToFit="0" vertical="top" wrapText="1"/>
    </xf>
    <xf borderId="5" fillId="12" fontId="10" numFmtId="0" xfId="0" applyAlignment="1" applyBorder="1" applyFill="1" applyFont="1">
      <alignment horizontal="left" shrinkToFit="0" vertical="top" wrapText="1"/>
    </xf>
    <xf borderId="5" fillId="12" fontId="14" numFmtId="0" xfId="0" applyAlignment="1" applyBorder="1" applyFill="1" applyFont="1">
      <alignment horizontal="left" shrinkToFit="0" vertical="top" wrapText="1"/>
    </xf>
    <xf borderId="0" fillId="12" fontId="15" numFmtId="0" xfId="0" applyFill="1" applyFont="1"/>
    <xf borderId="5" fillId="12" fontId="6" numFmtId="0" xfId="0" applyAlignment="1" applyBorder="1" applyFill="1" applyFont="1">
      <alignment horizontal="center" shrinkToFit="0" vertical="top" wrapText="1"/>
    </xf>
    <xf borderId="5" fillId="11" fontId="10" numFmtId="0" xfId="0" applyAlignment="1" applyBorder="1" applyFill="1" applyFont="1">
      <alignment horizontal="left" readingOrder="0" shrinkToFit="0" vertical="top" wrapText="1"/>
    </xf>
    <xf borderId="0" fillId="0" fontId="16" numFmtId="0" xfId="0" applyFont="1"/>
    <xf borderId="7" fillId="9" fontId="8" numFmtId="0" xfId="0" applyBorder="1" applyFill="1" applyFont="1"/>
    <xf borderId="8" fillId="0" fontId="2" numFmtId="0" xfId="0" applyBorder="1" applyFont="1"/>
    <xf borderId="0" fillId="0" fontId="9" numFmtId="0" xfId="0" applyAlignment="1" applyFont="1">
      <alignment horizontal="left" vertical="center"/>
    </xf>
    <xf borderId="7" fillId="10" fontId="8" numFmtId="0" xfId="0" applyBorder="1" applyFill="1" applyFont="1"/>
    <xf borderId="7" fillId="11" fontId="8" numFmtId="0" xfId="0" applyBorder="1" applyFill="1" applyFont="1"/>
    <xf borderId="7" fillId="5" fontId="8" numFmtId="0" xfId="0" applyBorder="1" applyFill="1" applyFont="1"/>
    <xf borderId="7" fillId="7" fontId="8" numFmtId="0" xfId="0" applyBorder="1" applyFill="1" applyFont="1"/>
    <xf borderId="0" fillId="0"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7.71"/>
    <col customWidth="1" min="2" max="2" width="11.14"/>
    <col customWidth="1" min="3" max="4" width="32.0"/>
    <col customWidth="1" min="5" max="5" width="52.0"/>
    <col customWidth="1" min="6" max="6" width="34.0"/>
    <col customWidth="1" min="7" max="7" width="46.0"/>
    <col customWidth="1" min="8" max="8" width="23.0"/>
    <col customWidth="1" min="9" max="9" width="16.0"/>
    <col customWidth="1" min="10" max="10" width="18.0"/>
    <col customWidth="1" min="11" max="11" width="52.0"/>
    <col customWidth="1" min="12" max="12" width="20.0"/>
    <col customWidth="1" min="13" max="26" width="8.71"/>
  </cols>
  <sheetData>
    <row r="1" ht="30.0" customHeight="1">
      <c r="A1" s="2" t="s">
        <v>2</v>
      </c>
      <c r="B1" s="3"/>
      <c r="C1" s="3"/>
      <c r="D1" s="3"/>
      <c r="E1" s="3"/>
      <c r="F1" s="3"/>
      <c r="G1" s="3"/>
      <c r="H1" s="3"/>
      <c r="I1" s="3"/>
      <c r="J1" s="3"/>
      <c r="K1" s="3"/>
      <c r="L1" s="4"/>
    </row>
    <row r="2" ht="19.5" customHeight="1">
      <c r="A2" s="11" t="s">
        <v>19</v>
      </c>
      <c r="B2" s="21">
        <f>COUNTIF($B$4:$B$500,"ĐẦU VÀO")</f>
        <v>69</v>
      </c>
      <c r="C2" s="11" t="s">
        <v>64</v>
      </c>
      <c r="D2" s="21">
        <f>COUNTIF($B$4:$B$500,"ĐẦU RA")</f>
        <v>70</v>
      </c>
      <c r="E2" s="11" t="s">
        <v>106</v>
      </c>
      <c r="F2" s="21">
        <f>B2+D2</f>
        <v>139</v>
      </c>
      <c r="G2" s="11" t="s">
        <v>131</v>
      </c>
      <c r="H2" s="21">
        <f>COUNTIF($J$4:$J$500,"BỔ SUNG MỚI")</f>
        <v>21</v>
      </c>
      <c r="I2" s="6"/>
    </row>
    <row r="3" ht="33.75" customHeight="1">
      <c r="A3" s="8" t="s">
        <v>147</v>
      </c>
      <c r="B3" s="8" t="s">
        <v>148</v>
      </c>
      <c r="C3" s="8" t="s">
        <v>149</v>
      </c>
      <c r="D3" s="8" t="s">
        <v>150</v>
      </c>
      <c r="E3" s="8" t="s">
        <v>151</v>
      </c>
      <c r="F3" s="8" t="s">
        <v>152</v>
      </c>
      <c r="G3" s="8" t="s">
        <v>153</v>
      </c>
      <c r="H3" s="8" t="s">
        <v>154</v>
      </c>
      <c r="I3" s="8" t="s">
        <v>155</v>
      </c>
      <c r="J3" s="22" t="s">
        <v>156</v>
      </c>
      <c r="K3" s="22" t="s">
        <v>157</v>
      </c>
      <c r="L3" s="8" t="s">
        <v>158</v>
      </c>
    </row>
    <row r="4" ht="14.25" customHeight="1">
      <c r="A4" s="23">
        <v>1.0</v>
      </c>
      <c r="B4" s="24" t="s">
        <v>159</v>
      </c>
      <c r="C4" s="25" t="s">
        <v>160</v>
      </c>
      <c r="D4" s="26" t="s">
        <v>161</v>
      </c>
      <c r="E4" s="27" t="s">
        <v>162</v>
      </c>
      <c r="F4" s="28" t="s">
        <v>163</v>
      </c>
      <c r="G4" s="27" t="s">
        <v>164</v>
      </c>
      <c r="H4" s="27" t="s">
        <v>165</v>
      </c>
      <c r="I4" s="23" t="s">
        <v>166</v>
      </c>
      <c r="J4" s="23" t="s">
        <v>167</v>
      </c>
      <c r="K4" s="29" t="s">
        <v>168</v>
      </c>
      <c r="L4" s="27" t="s">
        <v>169</v>
      </c>
    </row>
    <row r="5" ht="14.25" customHeight="1">
      <c r="A5" s="30">
        <v>2.0</v>
      </c>
      <c r="B5" s="31" t="s">
        <v>159</v>
      </c>
      <c r="C5" s="32" t="s">
        <v>160</v>
      </c>
      <c r="D5" s="33" t="s">
        <v>170</v>
      </c>
      <c r="E5" s="34" t="s">
        <v>171</v>
      </c>
      <c r="F5" s="34" t="s">
        <v>172</v>
      </c>
      <c r="G5" s="34" t="s">
        <v>173</v>
      </c>
      <c r="H5" s="34" t="s">
        <v>174</v>
      </c>
      <c r="I5" s="30" t="s">
        <v>166</v>
      </c>
      <c r="J5" s="35" t="s">
        <v>175</v>
      </c>
      <c r="K5" s="36" t="s">
        <v>176</v>
      </c>
      <c r="L5" s="34" t="s">
        <v>177</v>
      </c>
    </row>
    <row r="6" ht="14.25" customHeight="1">
      <c r="A6" s="30">
        <v>3.0</v>
      </c>
      <c r="B6" s="31" t="s">
        <v>159</v>
      </c>
      <c r="C6" s="32" t="s">
        <v>160</v>
      </c>
      <c r="D6" s="33" t="s">
        <v>178</v>
      </c>
      <c r="E6" s="34" t="s">
        <v>179</v>
      </c>
      <c r="F6" s="34" t="s">
        <v>180</v>
      </c>
      <c r="G6" s="34" t="s">
        <v>181</v>
      </c>
      <c r="H6" s="34" t="s">
        <v>174</v>
      </c>
      <c r="I6" s="30" t="s">
        <v>166</v>
      </c>
      <c r="J6" s="35" t="s">
        <v>175</v>
      </c>
      <c r="K6" s="36" t="s">
        <v>182</v>
      </c>
      <c r="L6" s="34" t="s">
        <v>177</v>
      </c>
    </row>
    <row r="7" ht="14.25" customHeight="1">
      <c r="A7" s="37">
        <v>4.0</v>
      </c>
      <c r="B7" s="38" t="s">
        <v>159</v>
      </c>
      <c r="C7" s="39" t="s">
        <v>160</v>
      </c>
      <c r="D7" s="40" t="s">
        <v>183</v>
      </c>
      <c r="E7" s="41" t="s">
        <v>184</v>
      </c>
      <c r="F7" s="41" t="s">
        <v>185</v>
      </c>
      <c r="G7" s="41" t="s">
        <v>186</v>
      </c>
      <c r="H7" s="41" t="s">
        <v>187</v>
      </c>
      <c r="I7" s="37" t="s">
        <v>166</v>
      </c>
      <c r="J7" s="42" t="s">
        <v>188</v>
      </c>
      <c r="K7" s="43" t="s">
        <v>189</v>
      </c>
      <c r="L7" s="41" t="s">
        <v>169</v>
      </c>
    </row>
    <row r="8" ht="14.25" customHeight="1">
      <c r="A8" s="37">
        <v>5.0</v>
      </c>
      <c r="B8" s="38" t="s">
        <v>159</v>
      </c>
      <c r="C8" s="39" t="s">
        <v>160</v>
      </c>
      <c r="D8" s="40" t="s">
        <v>190</v>
      </c>
      <c r="E8" s="44" t="s">
        <v>191</v>
      </c>
      <c r="F8" s="41" t="s">
        <v>192</v>
      </c>
      <c r="G8" s="41" t="s">
        <v>193</v>
      </c>
      <c r="H8" s="41" t="s">
        <v>194</v>
      </c>
      <c r="I8" s="37" t="s">
        <v>166</v>
      </c>
      <c r="J8" s="42" t="s">
        <v>188</v>
      </c>
      <c r="K8" s="43" t="s">
        <v>195</v>
      </c>
      <c r="L8" s="41" t="s">
        <v>196</v>
      </c>
    </row>
    <row r="9" ht="14.25" customHeight="1">
      <c r="A9" s="45">
        <v>6.0</v>
      </c>
      <c r="B9" s="46" t="s">
        <v>159</v>
      </c>
      <c r="C9" s="47" t="s">
        <v>160</v>
      </c>
      <c r="D9" s="19" t="s">
        <v>197</v>
      </c>
      <c r="E9" s="48" t="s">
        <v>198</v>
      </c>
      <c r="F9" s="48" t="s">
        <v>199</v>
      </c>
      <c r="G9" s="20" t="s">
        <v>193</v>
      </c>
      <c r="H9" s="20" t="s">
        <v>174</v>
      </c>
      <c r="I9" s="45" t="s">
        <v>166</v>
      </c>
      <c r="J9" s="45" t="s">
        <v>167</v>
      </c>
      <c r="K9" s="49"/>
      <c r="L9" s="20" t="s">
        <v>200</v>
      </c>
    </row>
    <row r="10" ht="14.25" customHeight="1">
      <c r="A10" s="30">
        <v>7.0</v>
      </c>
      <c r="B10" s="31" t="s">
        <v>159</v>
      </c>
      <c r="C10" s="32" t="s">
        <v>160</v>
      </c>
      <c r="D10" s="33" t="s">
        <v>201</v>
      </c>
      <c r="E10" s="50" t="s">
        <v>202</v>
      </c>
      <c r="F10" s="34" t="s">
        <v>203</v>
      </c>
      <c r="G10" s="34" t="s">
        <v>204</v>
      </c>
      <c r="H10" s="34" t="s">
        <v>205</v>
      </c>
      <c r="I10" s="30" t="s">
        <v>166</v>
      </c>
      <c r="J10" s="35" t="s">
        <v>175</v>
      </c>
      <c r="K10" s="36" t="s">
        <v>206</v>
      </c>
      <c r="L10" s="34" t="s">
        <v>169</v>
      </c>
    </row>
    <row r="11" ht="14.25" customHeight="1">
      <c r="A11" s="37">
        <v>8.0</v>
      </c>
      <c r="B11" s="38" t="s">
        <v>159</v>
      </c>
      <c r="C11" s="39" t="s">
        <v>160</v>
      </c>
      <c r="D11" s="40" t="s">
        <v>207</v>
      </c>
      <c r="E11" s="44" t="s">
        <v>208</v>
      </c>
      <c r="F11" s="41" t="s">
        <v>209</v>
      </c>
      <c r="G11" s="41" t="s">
        <v>193</v>
      </c>
      <c r="H11" s="41" t="s">
        <v>174</v>
      </c>
      <c r="I11" s="37" t="s">
        <v>166</v>
      </c>
      <c r="J11" s="42" t="s">
        <v>188</v>
      </c>
      <c r="K11" s="43" t="s">
        <v>210</v>
      </c>
      <c r="L11" s="41" t="s">
        <v>169</v>
      </c>
    </row>
    <row r="12" ht="14.25" customHeight="1">
      <c r="A12" s="37">
        <v>9.0</v>
      </c>
      <c r="B12" s="38" t="s">
        <v>159</v>
      </c>
      <c r="C12" s="39" t="s">
        <v>160</v>
      </c>
      <c r="D12" s="40" t="s">
        <v>211</v>
      </c>
      <c r="E12" s="41" t="s">
        <v>212</v>
      </c>
      <c r="F12" s="41" t="s">
        <v>213</v>
      </c>
      <c r="G12" s="41" t="s">
        <v>214</v>
      </c>
      <c r="H12" s="41" t="s">
        <v>174</v>
      </c>
      <c r="I12" s="37" t="s">
        <v>166</v>
      </c>
      <c r="J12" s="42" t="s">
        <v>188</v>
      </c>
      <c r="K12" s="43" t="s">
        <v>215</v>
      </c>
      <c r="L12" s="41" t="s">
        <v>196</v>
      </c>
    </row>
    <row r="13" ht="14.25" customHeight="1">
      <c r="A13" s="30">
        <v>10.0</v>
      </c>
      <c r="B13" s="31" t="s">
        <v>159</v>
      </c>
      <c r="C13" s="32" t="s">
        <v>160</v>
      </c>
      <c r="D13" s="33" t="s">
        <v>216</v>
      </c>
      <c r="E13" s="50" t="s">
        <v>217</v>
      </c>
      <c r="F13" s="34" t="s">
        <v>218</v>
      </c>
      <c r="G13" s="34" t="s">
        <v>219</v>
      </c>
      <c r="H13" s="34" t="s">
        <v>220</v>
      </c>
      <c r="I13" s="30" t="s">
        <v>166</v>
      </c>
      <c r="J13" s="35" t="s">
        <v>175</v>
      </c>
      <c r="K13" s="36" t="s">
        <v>221</v>
      </c>
      <c r="L13" s="34" t="s">
        <v>169</v>
      </c>
    </row>
    <row r="14" ht="14.25" customHeight="1">
      <c r="A14" s="30">
        <v>11.0</v>
      </c>
      <c r="B14" s="31" t="s">
        <v>159</v>
      </c>
      <c r="C14" s="32" t="s">
        <v>160</v>
      </c>
      <c r="D14" s="33" t="s">
        <v>222</v>
      </c>
      <c r="E14" s="50" t="s">
        <v>223</v>
      </c>
      <c r="F14" s="34" t="s">
        <v>224</v>
      </c>
      <c r="G14" s="34" t="s">
        <v>225</v>
      </c>
      <c r="H14" s="34" t="s">
        <v>226</v>
      </c>
      <c r="I14" s="30" t="s">
        <v>227</v>
      </c>
      <c r="J14" s="35" t="s">
        <v>175</v>
      </c>
      <c r="K14" s="36" t="s">
        <v>228</v>
      </c>
      <c r="L14" s="34" t="s">
        <v>229</v>
      </c>
    </row>
    <row r="15" ht="14.25" customHeight="1">
      <c r="A15" s="45">
        <v>12.0</v>
      </c>
      <c r="B15" s="46" t="s">
        <v>159</v>
      </c>
      <c r="C15" s="47" t="s">
        <v>160</v>
      </c>
      <c r="D15" s="19" t="s">
        <v>230</v>
      </c>
      <c r="E15" s="48" t="s">
        <v>231</v>
      </c>
      <c r="F15" s="20" t="s">
        <v>232</v>
      </c>
      <c r="G15" s="20" t="s">
        <v>233</v>
      </c>
      <c r="H15" s="20" t="s">
        <v>234</v>
      </c>
      <c r="I15" s="45" t="s">
        <v>166</v>
      </c>
      <c r="J15" s="45" t="s">
        <v>167</v>
      </c>
      <c r="K15" s="49"/>
      <c r="L15" s="20" t="s">
        <v>200</v>
      </c>
    </row>
    <row r="16" ht="14.25" customHeight="1">
      <c r="A16" s="37">
        <v>13.0</v>
      </c>
      <c r="B16" s="38" t="s">
        <v>159</v>
      </c>
      <c r="C16" s="39" t="s">
        <v>160</v>
      </c>
      <c r="D16" s="40" t="s">
        <v>235</v>
      </c>
      <c r="E16" s="44" t="s">
        <v>236</v>
      </c>
      <c r="F16" s="41" t="s">
        <v>237</v>
      </c>
      <c r="G16" s="41" t="s">
        <v>238</v>
      </c>
      <c r="H16" s="41" t="s">
        <v>174</v>
      </c>
      <c r="I16" s="37" t="s">
        <v>166</v>
      </c>
      <c r="J16" s="42" t="s">
        <v>188</v>
      </c>
      <c r="K16" s="43" t="s">
        <v>239</v>
      </c>
      <c r="L16" s="41" t="s">
        <v>200</v>
      </c>
    </row>
    <row r="17" ht="14.25" customHeight="1">
      <c r="A17" s="37">
        <v>14.0</v>
      </c>
      <c r="B17" s="38" t="s">
        <v>159</v>
      </c>
      <c r="C17" s="39" t="s">
        <v>160</v>
      </c>
      <c r="D17" s="40" t="s">
        <v>240</v>
      </c>
      <c r="E17" s="41" t="s">
        <v>241</v>
      </c>
      <c r="F17" s="41" t="s">
        <v>242</v>
      </c>
      <c r="G17" s="41" t="s">
        <v>243</v>
      </c>
      <c r="H17" s="41" t="s">
        <v>174</v>
      </c>
      <c r="I17" s="37" t="s">
        <v>166</v>
      </c>
      <c r="J17" s="42" t="s">
        <v>188</v>
      </c>
      <c r="K17" s="43" t="s">
        <v>244</v>
      </c>
      <c r="L17" s="41" t="s">
        <v>200</v>
      </c>
    </row>
    <row r="18" ht="14.25" customHeight="1">
      <c r="A18" s="30">
        <v>15.0</v>
      </c>
      <c r="B18" s="31" t="s">
        <v>159</v>
      </c>
      <c r="C18" s="32" t="s">
        <v>160</v>
      </c>
      <c r="D18" s="33" t="s">
        <v>245</v>
      </c>
      <c r="E18" s="50" t="s">
        <v>246</v>
      </c>
      <c r="F18" s="34" t="s">
        <v>247</v>
      </c>
      <c r="G18" s="34" t="s">
        <v>238</v>
      </c>
      <c r="H18" s="34" t="s">
        <v>174</v>
      </c>
      <c r="I18" s="30" t="s">
        <v>166</v>
      </c>
      <c r="J18" s="35" t="s">
        <v>175</v>
      </c>
      <c r="K18" s="36" t="s">
        <v>248</v>
      </c>
      <c r="L18" s="34" t="s">
        <v>200</v>
      </c>
    </row>
    <row r="19" ht="14.25" customHeight="1">
      <c r="A19" s="37">
        <v>16.0</v>
      </c>
      <c r="B19" s="38" t="s">
        <v>159</v>
      </c>
      <c r="C19" s="39" t="s">
        <v>160</v>
      </c>
      <c r="D19" s="40" t="s">
        <v>249</v>
      </c>
      <c r="E19" s="44" t="s">
        <v>250</v>
      </c>
      <c r="F19" s="41" t="s">
        <v>251</v>
      </c>
      <c r="G19" s="41" t="s">
        <v>252</v>
      </c>
      <c r="H19" s="41" t="s">
        <v>253</v>
      </c>
      <c r="I19" s="37" t="s">
        <v>166</v>
      </c>
      <c r="J19" s="42" t="s">
        <v>188</v>
      </c>
      <c r="K19" s="43" t="s">
        <v>254</v>
      </c>
      <c r="L19" s="41" t="s">
        <v>196</v>
      </c>
    </row>
    <row r="20" ht="14.25" customHeight="1">
      <c r="A20" s="45">
        <v>17.0</v>
      </c>
      <c r="B20" s="46" t="s">
        <v>159</v>
      </c>
      <c r="C20" s="47" t="s">
        <v>160</v>
      </c>
      <c r="D20" s="19" t="s">
        <v>255</v>
      </c>
      <c r="E20" s="20" t="s">
        <v>256</v>
      </c>
      <c r="F20" s="20" t="s">
        <v>257</v>
      </c>
      <c r="G20" s="20" t="s">
        <v>258</v>
      </c>
      <c r="H20" s="20" t="s">
        <v>259</v>
      </c>
      <c r="I20" s="45" t="s">
        <v>166</v>
      </c>
      <c r="J20" s="45" t="s">
        <v>167</v>
      </c>
      <c r="K20" s="49"/>
      <c r="L20" s="20" t="s">
        <v>200</v>
      </c>
    </row>
    <row r="21" ht="14.25" customHeight="1">
      <c r="A21" s="37">
        <v>18.0</v>
      </c>
      <c r="B21" s="38" t="s">
        <v>159</v>
      </c>
      <c r="C21" s="39" t="s">
        <v>160</v>
      </c>
      <c r="D21" s="40" t="s">
        <v>260</v>
      </c>
      <c r="E21" s="44" t="s">
        <v>261</v>
      </c>
      <c r="F21" s="41" t="s">
        <v>262</v>
      </c>
      <c r="G21" s="41" t="s">
        <v>263</v>
      </c>
      <c r="H21" s="41" t="s">
        <v>264</v>
      </c>
      <c r="I21" s="37" t="s">
        <v>166</v>
      </c>
      <c r="J21" s="42" t="s">
        <v>188</v>
      </c>
      <c r="K21" s="43" t="s">
        <v>265</v>
      </c>
      <c r="L21" s="41" t="s">
        <v>200</v>
      </c>
    </row>
    <row r="22" ht="14.25" customHeight="1">
      <c r="A22" s="23">
        <v>19.0</v>
      </c>
      <c r="B22" s="24" t="s">
        <v>159</v>
      </c>
      <c r="C22" s="25" t="s">
        <v>266</v>
      </c>
      <c r="D22" s="26" t="s">
        <v>267</v>
      </c>
      <c r="E22" s="27" t="s">
        <v>268</v>
      </c>
      <c r="F22" s="27" t="s">
        <v>269</v>
      </c>
      <c r="G22" s="27" t="s">
        <v>270</v>
      </c>
      <c r="H22" s="27" t="s">
        <v>271</v>
      </c>
      <c r="I22" s="23" t="s">
        <v>166</v>
      </c>
      <c r="J22" s="23" t="s">
        <v>167</v>
      </c>
      <c r="K22" s="29"/>
      <c r="L22" s="27" t="s">
        <v>200</v>
      </c>
    </row>
    <row r="23" ht="14.25" customHeight="1">
      <c r="A23" s="45">
        <v>20.0</v>
      </c>
      <c r="B23" s="46" t="s">
        <v>159</v>
      </c>
      <c r="C23" s="47" t="s">
        <v>266</v>
      </c>
      <c r="D23" s="19" t="s">
        <v>272</v>
      </c>
      <c r="E23" s="20" t="s">
        <v>273</v>
      </c>
      <c r="F23" s="20" t="s">
        <v>274</v>
      </c>
      <c r="G23" s="20" t="s">
        <v>275</v>
      </c>
      <c r="H23" s="20" t="s">
        <v>194</v>
      </c>
      <c r="I23" s="45" t="s">
        <v>166</v>
      </c>
      <c r="J23" s="45" t="s">
        <v>167</v>
      </c>
      <c r="K23" s="49"/>
      <c r="L23" s="20" t="s">
        <v>200</v>
      </c>
    </row>
    <row r="24" ht="14.25" customHeight="1">
      <c r="A24" s="37">
        <v>21.0</v>
      </c>
      <c r="B24" s="38" t="s">
        <v>159</v>
      </c>
      <c r="C24" s="39" t="s">
        <v>266</v>
      </c>
      <c r="D24" s="40" t="s">
        <v>276</v>
      </c>
      <c r="E24" s="44" t="s">
        <v>277</v>
      </c>
      <c r="F24" s="41" t="s">
        <v>278</v>
      </c>
      <c r="G24" s="41" t="s">
        <v>279</v>
      </c>
      <c r="H24" s="41" t="s">
        <v>194</v>
      </c>
      <c r="I24" s="37" t="s">
        <v>166</v>
      </c>
      <c r="J24" s="42" t="s">
        <v>188</v>
      </c>
      <c r="K24" s="43" t="s">
        <v>280</v>
      </c>
      <c r="L24" s="41" t="s">
        <v>200</v>
      </c>
    </row>
    <row r="25" ht="14.25" customHeight="1">
      <c r="A25" s="45">
        <v>22.0</v>
      </c>
      <c r="B25" s="46" t="s">
        <v>159</v>
      </c>
      <c r="C25" s="47" t="s">
        <v>266</v>
      </c>
      <c r="D25" s="19" t="s">
        <v>281</v>
      </c>
      <c r="E25" s="20" t="s">
        <v>282</v>
      </c>
      <c r="F25" s="20" t="s">
        <v>283</v>
      </c>
      <c r="G25" s="20" t="s">
        <v>275</v>
      </c>
      <c r="H25" s="20" t="s">
        <v>284</v>
      </c>
      <c r="I25" s="45" t="s">
        <v>166</v>
      </c>
      <c r="J25" s="45" t="s">
        <v>167</v>
      </c>
      <c r="K25" s="49"/>
      <c r="L25" s="20" t="s">
        <v>200</v>
      </c>
    </row>
    <row r="26" ht="14.25" customHeight="1">
      <c r="A26" s="45">
        <v>23.0</v>
      </c>
      <c r="B26" s="46" t="s">
        <v>159</v>
      </c>
      <c r="C26" s="47" t="s">
        <v>266</v>
      </c>
      <c r="D26" s="19" t="s">
        <v>285</v>
      </c>
      <c r="E26" s="20" t="s">
        <v>286</v>
      </c>
      <c r="F26" s="20" t="s">
        <v>287</v>
      </c>
      <c r="G26" s="20" t="s">
        <v>288</v>
      </c>
      <c r="H26" s="20" t="s">
        <v>289</v>
      </c>
      <c r="I26" s="45" t="s">
        <v>166</v>
      </c>
      <c r="J26" s="45" t="s">
        <v>167</v>
      </c>
      <c r="K26" s="49"/>
      <c r="L26" s="20" t="s">
        <v>290</v>
      </c>
    </row>
    <row r="27" ht="14.25" customHeight="1">
      <c r="A27" s="30">
        <v>24.0</v>
      </c>
      <c r="B27" s="31" t="s">
        <v>159</v>
      </c>
      <c r="C27" s="32" t="s">
        <v>266</v>
      </c>
      <c r="D27" s="33" t="s">
        <v>291</v>
      </c>
      <c r="E27" s="34" t="s">
        <v>292</v>
      </c>
      <c r="F27" s="34" t="s">
        <v>293</v>
      </c>
      <c r="G27" s="34" t="s">
        <v>294</v>
      </c>
      <c r="H27" s="34" t="s">
        <v>295</v>
      </c>
      <c r="I27" s="30" t="s">
        <v>166</v>
      </c>
      <c r="J27" s="35" t="s">
        <v>175</v>
      </c>
      <c r="K27" s="36" t="s">
        <v>296</v>
      </c>
      <c r="L27" s="34" t="s">
        <v>297</v>
      </c>
    </row>
    <row r="28" ht="14.25" customHeight="1">
      <c r="A28" s="51">
        <v>25.0</v>
      </c>
      <c r="B28" s="52" t="s">
        <v>159</v>
      </c>
      <c r="C28" s="53" t="s">
        <v>298</v>
      </c>
      <c r="D28" s="54" t="s">
        <v>299</v>
      </c>
      <c r="E28" s="55" t="s">
        <v>300</v>
      </c>
      <c r="F28" s="56" t="s">
        <v>301</v>
      </c>
      <c r="G28" s="56" t="s">
        <v>302</v>
      </c>
      <c r="H28" s="56" t="s">
        <v>303</v>
      </c>
      <c r="I28" s="51" t="s">
        <v>166</v>
      </c>
      <c r="J28" s="57" t="s">
        <v>188</v>
      </c>
      <c r="K28" s="58" t="s">
        <v>304</v>
      </c>
      <c r="L28" s="56" t="s">
        <v>305</v>
      </c>
    </row>
    <row r="29" ht="14.25" customHeight="1">
      <c r="A29" s="45">
        <v>26.0</v>
      </c>
      <c r="B29" s="46" t="s">
        <v>159</v>
      </c>
      <c r="C29" s="47" t="s">
        <v>298</v>
      </c>
      <c r="D29" s="19" t="s">
        <v>306</v>
      </c>
      <c r="E29" s="20" t="s">
        <v>307</v>
      </c>
      <c r="F29" s="20" t="s">
        <v>308</v>
      </c>
      <c r="G29" s="20" t="s">
        <v>309</v>
      </c>
      <c r="H29" s="20" t="s">
        <v>174</v>
      </c>
      <c r="I29" s="45" t="s">
        <v>166</v>
      </c>
      <c r="J29" s="45" t="s">
        <v>167</v>
      </c>
      <c r="K29" s="49"/>
      <c r="L29" s="20" t="s">
        <v>310</v>
      </c>
    </row>
    <row r="30" ht="14.25" customHeight="1">
      <c r="A30" s="37">
        <v>27.0</v>
      </c>
      <c r="B30" s="38" t="s">
        <v>159</v>
      </c>
      <c r="C30" s="39" t="s">
        <v>298</v>
      </c>
      <c r="D30" s="40" t="s">
        <v>311</v>
      </c>
      <c r="E30" s="44" t="s">
        <v>312</v>
      </c>
      <c r="F30" s="41" t="s">
        <v>313</v>
      </c>
      <c r="G30" s="41" t="s">
        <v>314</v>
      </c>
      <c r="H30" s="41" t="s">
        <v>315</v>
      </c>
      <c r="I30" s="37" t="s">
        <v>166</v>
      </c>
      <c r="J30" s="42" t="s">
        <v>188</v>
      </c>
      <c r="K30" s="43" t="s">
        <v>316</v>
      </c>
      <c r="L30" s="41" t="s">
        <v>169</v>
      </c>
    </row>
    <row r="31" ht="14.25" customHeight="1">
      <c r="A31" s="30">
        <v>28.0</v>
      </c>
      <c r="B31" s="31" t="s">
        <v>159</v>
      </c>
      <c r="C31" s="32" t="s">
        <v>298</v>
      </c>
      <c r="D31" s="33" t="s">
        <v>317</v>
      </c>
      <c r="E31" s="50" t="s">
        <v>318</v>
      </c>
      <c r="F31" s="34" t="s">
        <v>319</v>
      </c>
      <c r="G31" s="34" t="s">
        <v>320</v>
      </c>
      <c r="H31" s="34" t="s">
        <v>321</v>
      </c>
      <c r="I31" s="30" t="s">
        <v>166</v>
      </c>
      <c r="J31" s="35" t="s">
        <v>175</v>
      </c>
      <c r="K31" s="36" t="s">
        <v>322</v>
      </c>
      <c r="L31" s="34" t="s">
        <v>323</v>
      </c>
    </row>
    <row r="32" ht="14.25" customHeight="1">
      <c r="A32" s="37">
        <v>29.0</v>
      </c>
      <c r="B32" s="38" t="s">
        <v>159</v>
      </c>
      <c r="C32" s="39" t="s">
        <v>298</v>
      </c>
      <c r="D32" s="40" t="s">
        <v>324</v>
      </c>
      <c r="E32" s="44" t="s">
        <v>325</v>
      </c>
      <c r="F32" s="41" t="s">
        <v>326</v>
      </c>
      <c r="G32" s="41" t="s">
        <v>327</v>
      </c>
      <c r="H32" s="41" t="s">
        <v>284</v>
      </c>
      <c r="I32" s="37" t="s">
        <v>166</v>
      </c>
      <c r="J32" s="42" t="s">
        <v>188</v>
      </c>
      <c r="K32" s="43" t="s">
        <v>328</v>
      </c>
      <c r="L32" s="41" t="s">
        <v>305</v>
      </c>
    </row>
    <row r="33" ht="14.25" customHeight="1">
      <c r="A33" s="45">
        <v>30.0</v>
      </c>
      <c r="B33" s="46" t="s">
        <v>159</v>
      </c>
      <c r="C33" s="47" t="s">
        <v>298</v>
      </c>
      <c r="D33" s="19" t="s">
        <v>329</v>
      </c>
      <c r="E33" s="48" t="s">
        <v>330</v>
      </c>
      <c r="F33" s="20" t="s">
        <v>331</v>
      </c>
      <c r="G33" s="20" t="s">
        <v>332</v>
      </c>
      <c r="H33" s="20" t="s">
        <v>333</v>
      </c>
      <c r="I33" s="45" t="s">
        <v>166</v>
      </c>
      <c r="J33" s="45" t="s">
        <v>167</v>
      </c>
      <c r="K33" s="49"/>
      <c r="L33" s="20" t="s">
        <v>310</v>
      </c>
    </row>
    <row r="34" ht="14.25" customHeight="1">
      <c r="A34" s="45">
        <v>31.0</v>
      </c>
      <c r="B34" s="46" t="s">
        <v>159</v>
      </c>
      <c r="C34" s="47" t="s">
        <v>298</v>
      </c>
      <c r="D34" s="19" t="s">
        <v>334</v>
      </c>
      <c r="E34" s="20" t="s">
        <v>335</v>
      </c>
      <c r="F34" s="20" t="s">
        <v>336</v>
      </c>
      <c r="G34" s="20" t="s">
        <v>337</v>
      </c>
      <c r="H34" s="20" t="s">
        <v>321</v>
      </c>
      <c r="I34" s="45" t="s">
        <v>166</v>
      </c>
      <c r="J34" s="45" t="s">
        <v>167</v>
      </c>
      <c r="K34" s="49"/>
      <c r="L34" s="20" t="s">
        <v>338</v>
      </c>
    </row>
    <row r="35" ht="14.25" customHeight="1">
      <c r="A35" s="51">
        <v>32.0</v>
      </c>
      <c r="B35" s="52" t="s">
        <v>159</v>
      </c>
      <c r="C35" s="53" t="s">
        <v>339</v>
      </c>
      <c r="D35" s="54" t="s">
        <v>340</v>
      </c>
      <c r="E35" s="55" t="s">
        <v>341</v>
      </c>
      <c r="F35" s="56" t="s">
        <v>342</v>
      </c>
      <c r="G35" s="56" t="s">
        <v>343</v>
      </c>
      <c r="H35" s="56" t="s">
        <v>344</v>
      </c>
      <c r="I35" s="51" t="s">
        <v>166</v>
      </c>
      <c r="J35" s="57" t="s">
        <v>188</v>
      </c>
      <c r="K35" s="58" t="s">
        <v>345</v>
      </c>
      <c r="L35" s="56" t="s">
        <v>346</v>
      </c>
    </row>
    <row r="36" ht="14.25" customHeight="1">
      <c r="A36" s="37">
        <v>33.0</v>
      </c>
      <c r="B36" s="38" t="s">
        <v>159</v>
      </c>
      <c r="C36" s="39" t="s">
        <v>339</v>
      </c>
      <c r="D36" s="40" t="s">
        <v>347</v>
      </c>
      <c r="E36" s="44" t="s">
        <v>348</v>
      </c>
      <c r="F36" s="41" t="s">
        <v>349</v>
      </c>
      <c r="G36" s="41" t="s">
        <v>350</v>
      </c>
      <c r="H36" s="41" t="s">
        <v>351</v>
      </c>
      <c r="I36" s="37" t="s">
        <v>166</v>
      </c>
      <c r="J36" s="42" t="s">
        <v>188</v>
      </c>
      <c r="K36" s="43" t="s">
        <v>352</v>
      </c>
      <c r="L36" s="41" t="s">
        <v>169</v>
      </c>
    </row>
    <row r="37" ht="14.25" customHeight="1">
      <c r="A37" s="30">
        <v>34.0</v>
      </c>
      <c r="B37" s="31" t="s">
        <v>159</v>
      </c>
      <c r="C37" s="32" t="s">
        <v>339</v>
      </c>
      <c r="D37" s="33" t="s">
        <v>353</v>
      </c>
      <c r="E37" s="34" t="s">
        <v>354</v>
      </c>
      <c r="F37" s="34" t="s">
        <v>355</v>
      </c>
      <c r="G37" s="34" t="s">
        <v>356</v>
      </c>
      <c r="H37" s="34" t="s">
        <v>357</v>
      </c>
      <c r="I37" s="30" t="s">
        <v>166</v>
      </c>
      <c r="J37" s="35" t="s">
        <v>175</v>
      </c>
      <c r="K37" s="36" t="s">
        <v>358</v>
      </c>
      <c r="L37" s="34" t="s">
        <v>196</v>
      </c>
    </row>
    <row r="38" ht="14.25" customHeight="1">
      <c r="A38" s="45">
        <v>35.0</v>
      </c>
      <c r="B38" s="46" t="s">
        <v>159</v>
      </c>
      <c r="C38" s="47" t="s">
        <v>339</v>
      </c>
      <c r="D38" s="19" t="s">
        <v>359</v>
      </c>
      <c r="E38" s="48" t="s">
        <v>360</v>
      </c>
      <c r="F38" s="20" t="s">
        <v>361</v>
      </c>
      <c r="G38" s="20" t="s">
        <v>362</v>
      </c>
      <c r="H38" s="20" t="s">
        <v>363</v>
      </c>
      <c r="I38" s="45" t="s">
        <v>166</v>
      </c>
      <c r="J38" s="45" t="s">
        <v>167</v>
      </c>
      <c r="K38" s="49"/>
      <c r="L38" s="20" t="s">
        <v>364</v>
      </c>
    </row>
    <row r="39" ht="14.25" customHeight="1">
      <c r="A39" s="37">
        <v>36.0</v>
      </c>
      <c r="B39" s="38" t="s">
        <v>159</v>
      </c>
      <c r="C39" s="39" t="s">
        <v>339</v>
      </c>
      <c r="D39" s="40" t="s">
        <v>365</v>
      </c>
      <c r="E39" s="44" t="s">
        <v>366</v>
      </c>
      <c r="F39" s="41" t="s">
        <v>367</v>
      </c>
      <c r="G39" s="41" t="s">
        <v>368</v>
      </c>
      <c r="H39" s="41" t="s">
        <v>369</v>
      </c>
      <c r="I39" s="37" t="s">
        <v>166</v>
      </c>
      <c r="J39" s="42" t="s">
        <v>188</v>
      </c>
      <c r="K39" s="43" t="s">
        <v>370</v>
      </c>
      <c r="L39" s="41" t="s">
        <v>371</v>
      </c>
    </row>
    <row r="40" ht="14.25" customHeight="1">
      <c r="A40" s="45">
        <v>37.0</v>
      </c>
      <c r="B40" s="46" t="s">
        <v>159</v>
      </c>
      <c r="C40" s="47" t="s">
        <v>339</v>
      </c>
      <c r="D40" s="19" t="s">
        <v>372</v>
      </c>
      <c r="E40" s="20" t="s">
        <v>373</v>
      </c>
      <c r="F40" s="20" t="s">
        <v>374</v>
      </c>
      <c r="G40" s="20" t="s">
        <v>375</v>
      </c>
      <c r="H40" s="20" t="s">
        <v>376</v>
      </c>
      <c r="I40" s="45" t="s">
        <v>166</v>
      </c>
      <c r="J40" s="45" t="s">
        <v>167</v>
      </c>
      <c r="K40" s="49"/>
      <c r="L40" s="20" t="s">
        <v>377</v>
      </c>
    </row>
    <row r="41" ht="14.25" customHeight="1">
      <c r="A41" s="45">
        <v>38.0</v>
      </c>
      <c r="B41" s="46" t="s">
        <v>159</v>
      </c>
      <c r="C41" s="47" t="s">
        <v>339</v>
      </c>
      <c r="D41" s="19" t="s">
        <v>378</v>
      </c>
      <c r="E41" s="20" t="s">
        <v>379</v>
      </c>
      <c r="F41" s="20" t="s">
        <v>380</v>
      </c>
      <c r="G41" s="20" t="s">
        <v>381</v>
      </c>
      <c r="H41" s="20" t="s">
        <v>382</v>
      </c>
      <c r="I41" s="45" t="s">
        <v>166</v>
      </c>
      <c r="J41" s="45" t="s">
        <v>167</v>
      </c>
      <c r="K41" s="49"/>
      <c r="L41" s="20" t="s">
        <v>371</v>
      </c>
    </row>
    <row r="42" ht="14.25" customHeight="1">
      <c r="A42" s="37">
        <v>39.0</v>
      </c>
      <c r="B42" s="38" t="s">
        <v>159</v>
      </c>
      <c r="C42" s="39" t="s">
        <v>339</v>
      </c>
      <c r="D42" s="40" t="s">
        <v>383</v>
      </c>
      <c r="E42" s="44" t="s">
        <v>384</v>
      </c>
      <c r="F42" s="41" t="s">
        <v>385</v>
      </c>
      <c r="G42" s="41" t="s">
        <v>386</v>
      </c>
      <c r="H42" s="41" t="s">
        <v>387</v>
      </c>
      <c r="I42" s="37" t="s">
        <v>166</v>
      </c>
      <c r="J42" s="42" t="s">
        <v>188</v>
      </c>
      <c r="K42" s="43" t="s">
        <v>388</v>
      </c>
      <c r="L42" s="41" t="s">
        <v>346</v>
      </c>
    </row>
    <row r="43" ht="14.25" customHeight="1">
      <c r="A43" s="30">
        <v>40.0</v>
      </c>
      <c r="B43" s="31" t="s">
        <v>159</v>
      </c>
      <c r="C43" s="32" t="s">
        <v>339</v>
      </c>
      <c r="D43" s="33" t="s">
        <v>389</v>
      </c>
      <c r="E43" s="34" t="s">
        <v>390</v>
      </c>
      <c r="F43" s="34" t="s">
        <v>391</v>
      </c>
      <c r="G43" s="34" t="s">
        <v>392</v>
      </c>
      <c r="H43" s="34" t="s">
        <v>393</v>
      </c>
      <c r="I43" s="30" t="s">
        <v>166</v>
      </c>
      <c r="J43" s="35" t="s">
        <v>175</v>
      </c>
      <c r="K43" s="36" t="s">
        <v>394</v>
      </c>
      <c r="L43" s="34" t="s">
        <v>395</v>
      </c>
    </row>
    <row r="44" ht="14.25" customHeight="1">
      <c r="A44" s="30">
        <v>41.0</v>
      </c>
      <c r="B44" s="31" t="s">
        <v>159</v>
      </c>
      <c r="C44" s="32" t="s">
        <v>339</v>
      </c>
      <c r="D44" s="33" t="s">
        <v>396</v>
      </c>
      <c r="E44" s="50" t="s">
        <v>397</v>
      </c>
      <c r="F44" s="34" t="s">
        <v>398</v>
      </c>
      <c r="G44" s="34" t="s">
        <v>399</v>
      </c>
      <c r="H44" s="34" t="s">
        <v>400</v>
      </c>
      <c r="I44" s="30" t="s">
        <v>401</v>
      </c>
      <c r="J44" s="35" t="s">
        <v>175</v>
      </c>
      <c r="K44" s="36" t="s">
        <v>402</v>
      </c>
      <c r="L44" s="34" t="s">
        <v>403</v>
      </c>
    </row>
    <row r="45" ht="14.25" customHeight="1">
      <c r="A45" s="51">
        <v>42.0</v>
      </c>
      <c r="B45" s="52" t="s">
        <v>159</v>
      </c>
      <c r="C45" s="53" t="s">
        <v>404</v>
      </c>
      <c r="D45" s="54" t="s">
        <v>405</v>
      </c>
      <c r="E45" s="55" t="s">
        <v>406</v>
      </c>
      <c r="F45" s="56" t="s">
        <v>407</v>
      </c>
      <c r="G45" s="56" t="s">
        <v>408</v>
      </c>
      <c r="H45" s="56" t="s">
        <v>409</v>
      </c>
      <c r="I45" s="51" t="s">
        <v>227</v>
      </c>
      <c r="J45" s="57" t="s">
        <v>188</v>
      </c>
      <c r="K45" s="58" t="s">
        <v>410</v>
      </c>
      <c r="L45" s="56" t="s">
        <v>411</v>
      </c>
    </row>
    <row r="46" ht="14.25" customHeight="1">
      <c r="A46" s="45">
        <v>43.0</v>
      </c>
      <c r="B46" s="46" t="s">
        <v>159</v>
      </c>
      <c r="C46" s="47" t="s">
        <v>404</v>
      </c>
      <c r="D46" s="19" t="s">
        <v>412</v>
      </c>
      <c r="E46" s="20" t="s">
        <v>413</v>
      </c>
      <c r="F46" s="20" t="s">
        <v>414</v>
      </c>
      <c r="G46" s="20" t="s">
        <v>415</v>
      </c>
      <c r="H46" s="20" t="s">
        <v>416</v>
      </c>
      <c r="I46" s="45" t="s">
        <v>166</v>
      </c>
      <c r="J46" s="45" t="s">
        <v>167</v>
      </c>
      <c r="K46" s="49"/>
      <c r="L46" s="20" t="s">
        <v>200</v>
      </c>
    </row>
    <row r="47" ht="14.25" customHeight="1">
      <c r="A47" s="37">
        <v>44.0</v>
      </c>
      <c r="B47" s="38" t="s">
        <v>159</v>
      </c>
      <c r="C47" s="39" t="s">
        <v>404</v>
      </c>
      <c r="D47" s="40" t="s">
        <v>417</v>
      </c>
      <c r="E47" s="44" t="s">
        <v>418</v>
      </c>
      <c r="F47" s="41" t="s">
        <v>419</v>
      </c>
      <c r="G47" s="41" t="s">
        <v>420</v>
      </c>
      <c r="H47" s="41" t="s">
        <v>321</v>
      </c>
      <c r="I47" s="37" t="s">
        <v>166</v>
      </c>
      <c r="J47" s="42" t="s">
        <v>188</v>
      </c>
      <c r="K47" s="43" t="s">
        <v>421</v>
      </c>
      <c r="L47" s="41" t="s">
        <v>200</v>
      </c>
    </row>
    <row r="48" ht="14.25" customHeight="1">
      <c r="A48" s="45">
        <v>45.0</v>
      </c>
      <c r="B48" s="46" t="s">
        <v>159</v>
      </c>
      <c r="C48" s="47" t="s">
        <v>404</v>
      </c>
      <c r="D48" s="19" t="s">
        <v>422</v>
      </c>
      <c r="E48" s="48" t="s">
        <v>423</v>
      </c>
      <c r="F48" s="20" t="s">
        <v>424</v>
      </c>
      <c r="G48" s="20" t="s">
        <v>425</v>
      </c>
      <c r="H48" s="20" t="s">
        <v>426</v>
      </c>
      <c r="I48" s="45" t="s">
        <v>166</v>
      </c>
      <c r="J48" s="45" t="s">
        <v>167</v>
      </c>
      <c r="K48" s="49" t="s">
        <v>427</v>
      </c>
      <c r="L48" s="20" t="s">
        <v>428</v>
      </c>
    </row>
    <row r="49" ht="14.25" customHeight="1">
      <c r="A49" s="45">
        <v>46.0</v>
      </c>
      <c r="B49" s="46" t="s">
        <v>159</v>
      </c>
      <c r="C49" s="47" t="s">
        <v>404</v>
      </c>
      <c r="D49" s="19" t="s">
        <v>429</v>
      </c>
      <c r="E49" s="20" t="s">
        <v>430</v>
      </c>
      <c r="F49" s="20" t="s">
        <v>431</v>
      </c>
      <c r="G49" s="20" t="s">
        <v>432</v>
      </c>
      <c r="H49" s="20" t="s">
        <v>433</v>
      </c>
      <c r="I49" s="45" t="s">
        <v>166</v>
      </c>
      <c r="J49" s="45" t="s">
        <v>167</v>
      </c>
      <c r="K49" s="49"/>
      <c r="L49" s="20" t="s">
        <v>428</v>
      </c>
    </row>
    <row r="50" ht="14.25" customHeight="1">
      <c r="A50" s="45">
        <v>47.0</v>
      </c>
      <c r="B50" s="46" t="s">
        <v>159</v>
      </c>
      <c r="C50" s="47" t="s">
        <v>404</v>
      </c>
      <c r="D50" s="19" t="s">
        <v>434</v>
      </c>
      <c r="E50" s="20" t="s">
        <v>435</v>
      </c>
      <c r="F50" s="20" t="s">
        <v>436</v>
      </c>
      <c r="G50" s="20" t="s">
        <v>437</v>
      </c>
      <c r="H50" s="20" t="s">
        <v>438</v>
      </c>
      <c r="I50" s="45" t="s">
        <v>166</v>
      </c>
      <c r="J50" s="45" t="s">
        <v>167</v>
      </c>
      <c r="K50" s="49"/>
      <c r="L50" s="20" t="s">
        <v>200</v>
      </c>
    </row>
    <row r="51" ht="14.25" customHeight="1">
      <c r="A51" s="45">
        <v>48.0</v>
      </c>
      <c r="B51" s="46" t="s">
        <v>159</v>
      </c>
      <c r="C51" s="47" t="s">
        <v>404</v>
      </c>
      <c r="D51" s="19" t="s">
        <v>439</v>
      </c>
      <c r="E51" s="20" t="s">
        <v>440</v>
      </c>
      <c r="F51" s="20" t="s">
        <v>441</v>
      </c>
      <c r="G51" s="20" t="s">
        <v>442</v>
      </c>
      <c r="H51" s="20" t="s">
        <v>443</v>
      </c>
      <c r="I51" s="45" t="s">
        <v>401</v>
      </c>
      <c r="J51" s="45" t="s">
        <v>167</v>
      </c>
      <c r="K51" s="49"/>
      <c r="L51" s="20" t="s">
        <v>444</v>
      </c>
    </row>
    <row r="52" ht="14.25" customHeight="1">
      <c r="A52" s="23">
        <v>49.0</v>
      </c>
      <c r="B52" s="24" t="s">
        <v>159</v>
      </c>
      <c r="C52" s="25" t="s">
        <v>445</v>
      </c>
      <c r="D52" s="26" t="s">
        <v>446</v>
      </c>
      <c r="E52" s="28" t="s">
        <v>447</v>
      </c>
      <c r="F52" s="27" t="s">
        <v>448</v>
      </c>
      <c r="G52" s="27" t="s">
        <v>449</v>
      </c>
      <c r="H52" s="27" t="s">
        <v>450</v>
      </c>
      <c r="I52" s="23" t="s">
        <v>166</v>
      </c>
      <c r="J52" s="23" t="s">
        <v>167</v>
      </c>
      <c r="K52" s="29"/>
      <c r="L52" s="27" t="s">
        <v>169</v>
      </c>
    </row>
    <row r="53" ht="14.25" customHeight="1">
      <c r="A53" s="37">
        <v>50.0</v>
      </c>
      <c r="B53" s="38" t="s">
        <v>159</v>
      </c>
      <c r="C53" s="39" t="s">
        <v>445</v>
      </c>
      <c r="D53" s="40" t="s">
        <v>451</v>
      </c>
      <c r="E53" s="41" t="s">
        <v>452</v>
      </c>
      <c r="F53" s="41" t="s">
        <v>453</v>
      </c>
      <c r="G53" s="41" t="s">
        <v>454</v>
      </c>
      <c r="H53" s="41" t="s">
        <v>455</v>
      </c>
      <c r="I53" s="37" t="s">
        <v>166</v>
      </c>
      <c r="J53" s="42" t="s">
        <v>188</v>
      </c>
      <c r="K53" s="43" t="s">
        <v>456</v>
      </c>
      <c r="L53" s="41" t="s">
        <v>371</v>
      </c>
    </row>
    <row r="54" ht="14.25" customHeight="1">
      <c r="A54" s="45">
        <v>51.0</v>
      </c>
      <c r="B54" s="46" t="s">
        <v>159</v>
      </c>
      <c r="C54" s="47" t="s">
        <v>445</v>
      </c>
      <c r="D54" s="19" t="s">
        <v>457</v>
      </c>
      <c r="E54" s="20" t="s">
        <v>458</v>
      </c>
      <c r="F54" s="20" t="s">
        <v>459</v>
      </c>
      <c r="G54" s="20" t="s">
        <v>460</v>
      </c>
      <c r="H54" s="20" t="s">
        <v>461</v>
      </c>
      <c r="I54" s="45" t="s">
        <v>166</v>
      </c>
      <c r="J54" s="45" t="s">
        <v>167</v>
      </c>
      <c r="K54" s="49"/>
      <c r="L54" s="20" t="s">
        <v>462</v>
      </c>
    </row>
    <row r="55" ht="14.25" customHeight="1">
      <c r="A55" s="45">
        <v>52.0</v>
      </c>
      <c r="B55" s="46" t="s">
        <v>159</v>
      </c>
      <c r="C55" s="47" t="s">
        <v>445</v>
      </c>
      <c r="D55" s="19" t="s">
        <v>463</v>
      </c>
      <c r="E55" s="48" t="s">
        <v>464</v>
      </c>
      <c r="F55" s="20" t="s">
        <v>465</v>
      </c>
      <c r="G55" s="20" t="s">
        <v>466</v>
      </c>
      <c r="H55" s="20" t="s">
        <v>467</v>
      </c>
      <c r="I55" s="45" t="s">
        <v>166</v>
      </c>
      <c r="J55" s="45" t="s">
        <v>167</v>
      </c>
      <c r="K55" s="49"/>
      <c r="L55" s="20" t="s">
        <v>462</v>
      </c>
    </row>
    <row r="56" ht="14.25" customHeight="1">
      <c r="A56" s="30">
        <v>53.0</v>
      </c>
      <c r="B56" s="31" t="s">
        <v>159</v>
      </c>
      <c r="C56" s="32" t="s">
        <v>445</v>
      </c>
      <c r="D56" s="33" t="s">
        <v>468</v>
      </c>
      <c r="E56" s="50" t="s">
        <v>469</v>
      </c>
      <c r="F56" s="34" t="s">
        <v>470</v>
      </c>
      <c r="G56" s="34" t="s">
        <v>471</v>
      </c>
      <c r="H56" s="34" t="s">
        <v>472</v>
      </c>
      <c r="I56" s="30" t="s">
        <v>401</v>
      </c>
      <c r="J56" s="35" t="s">
        <v>175</v>
      </c>
      <c r="K56" s="36" t="s">
        <v>473</v>
      </c>
      <c r="L56" s="34" t="s">
        <v>403</v>
      </c>
    </row>
    <row r="57" ht="14.25" customHeight="1">
      <c r="A57" s="45">
        <v>54.0</v>
      </c>
      <c r="B57" s="46" t="s">
        <v>159</v>
      </c>
      <c r="C57" s="47" t="s">
        <v>445</v>
      </c>
      <c r="D57" s="19" t="s">
        <v>474</v>
      </c>
      <c r="E57" s="48" t="s">
        <v>475</v>
      </c>
      <c r="F57" s="20" t="s">
        <v>476</v>
      </c>
      <c r="G57" s="20" t="s">
        <v>477</v>
      </c>
      <c r="H57" s="20" t="s">
        <v>478</v>
      </c>
      <c r="I57" s="45" t="s">
        <v>401</v>
      </c>
      <c r="J57" s="45" t="s">
        <v>167</v>
      </c>
      <c r="K57" s="49" t="s">
        <v>479</v>
      </c>
      <c r="L57" s="20" t="s">
        <v>480</v>
      </c>
    </row>
    <row r="58" ht="14.25" customHeight="1">
      <c r="A58" s="45">
        <v>55.0</v>
      </c>
      <c r="B58" s="46" t="s">
        <v>159</v>
      </c>
      <c r="C58" s="47" t="s">
        <v>445</v>
      </c>
      <c r="D58" s="19" t="s">
        <v>481</v>
      </c>
      <c r="E58" s="48" t="s">
        <v>482</v>
      </c>
      <c r="F58" s="20" t="s">
        <v>483</v>
      </c>
      <c r="G58" s="20" t="s">
        <v>484</v>
      </c>
      <c r="H58" s="20" t="s">
        <v>387</v>
      </c>
      <c r="I58" s="45" t="s">
        <v>166</v>
      </c>
      <c r="J58" s="45" t="s">
        <v>167</v>
      </c>
      <c r="K58" s="49"/>
      <c r="L58" s="20" t="s">
        <v>371</v>
      </c>
    </row>
    <row r="59" ht="14.25" customHeight="1">
      <c r="A59" s="51">
        <v>56.0</v>
      </c>
      <c r="B59" s="52" t="s">
        <v>159</v>
      </c>
      <c r="C59" s="53" t="s">
        <v>485</v>
      </c>
      <c r="D59" s="54" t="s">
        <v>486</v>
      </c>
      <c r="E59" s="56" t="s">
        <v>487</v>
      </c>
      <c r="F59" s="56" t="s">
        <v>488</v>
      </c>
      <c r="G59" s="56" t="s">
        <v>489</v>
      </c>
      <c r="H59" s="56" t="s">
        <v>490</v>
      </c>
      <c r="I59" s="51" t="s">
        <v>166</v>
      </c>
      <c r="J59" s="57" t="s">
        <v>188</v>
      </c>
      <c r="K59" s="58" t="s">
        <v>491</v>
      </c>
      <c r="L59" s="56" t="s">
        <v>492</v>
      </c>
    </row>
    <row r="60" ht="14.25" customHeight="1">
      <c r="A60" s="59">
        <v>57.0</v>
      </c>
      <c r="B60" s="60" t="s">
        <v>159</v>
      </c>
      <c r="C60" s="61" t="s">
        <v>485</v>
      </c>
      <c r="D60" s="13" t="s">
        <v>493</v>
      </c>
      <c r="E60" s="15" t="s">
        <v>494</v>
      </c>
      <c r="F60" s="15" t="s">
        <v>495</v>
      </c>
      <c r="G60" s="15" t="s">
        <v>496</v>
      </c>
      <c r="H60" s="15" t="s">
        <v>497</v>
      </c>
      <c r="I60" s="59" t="s">
        <v>498</v>
      </c>
      <c r="J60" s="10" t="s">
        <v>499</v>
      </c>
      <c r="K60" s="62" t="s">
        <v>500</v>
      </c>
      <c r="L60" s="15" t="s">
        <v>501</v>
      </c>
    </row>
    <row r="61" ht="14.25" customHeight="1">
      <c r="A61" s="45">
        <v>58.0</v>
      </c>
      <c r="B61" s="46" t="s">
        <v>159</v>
      </c>
      <c r="C61" s="47" t="s">
        <v>485</v>
      </c>
      <c r="D61" s="19" t="s">
        <v>502</v>
      </c>
      <c r="E61" s="48" t="s">
        <v>503</v>
      </c>
      <c r="F61" s="20" t="s">
        <v>504</v>
      </c>
      <c r="G61" s="20" t="s">
        <v>505</v>
      </c>
      <c r="H61" s="20" t="s">
        <v>506</v>
      </c>
      <c r="I61" s="45" t="s">
        <v>166</v>
      </c>
      <c r="J61" s="45" t="s">
        <v>167</v>
      </c>
      <c r="K61" s="49"/>
      <c r="L61" s="20" t="s">
        <v>507</v>
      </c>
    </row>
    <row r="62" ht="14.25" customHeight="1">
      <c r="A62" s="45">
        <v>59.0</v>
      </c>
      <c r="B62" s="46" t="s">
        <v>159</v>
      </c>
      <c r="C62" s="47" t="s">
        <v>485</v>
      </c>
      <c r="D62" s="19" t="s">
        <v>508</v>
      </c>
      <c r="E62" s="48" t="s">
        <v>509</v>
      </c>
      <c r="F62" s="20" t="s">
        <v>510</v>
      </c>
      <c r="G62" s="20" t="s">
        <v>511</v>
      </c>
      <c r="H62" s="20" t="s">
        <v>512</v>
      </c>
      <c r="I62" s="45" t="s">
        <v>166</v>
      </c>
      <c r="J62" s="45" t="s">
        <v>167</v>
      </c>
      <c r="K62" s="49"/>
      <c r="L62" s="20" t="s">
        <v>513</v>
      </c>
    </row>
    <row r="63" ht="14.25" customHeight="1">
      <c r="A63" s="45">
        <v>60.0</v>
      </c>
      <c r="B63" s="46" t="s">
        <v>159</v>
      </c>
      <c r="C63" s="47" t="s">
        <v>485</v>
      </c>
      <c r="D63" s="19" t="s">
        <v>514</v>
      </c>
      <c r="E63" s="20" t="s">
        <v>515</v>
      </c>
      <c r="F63" s="20" t="s">
        <v>516</v>
      </c>
      <c r="G63" s="20" t="s">
        <v>517</v>
      </c>
      <c r="H63" s="20" t="s">
        <v>518</v>
      </c>
      <c r="I63" s="45" t="s">
        <v>166</v>
      </c>
      <c r="J63" s="45" t="s">
        <v>167</v>
      </c>
      <c r="K63" s="49"/>
      <c r="L63" s="20" t="s">
        <v>513</v>
      </c>
    </row>
    <row r="64" ht="14.25" customHeight="1">
      <c r="A64" s="45">
        <v>61.0</v>
      </c>
      <c r="B64" s="46" t="s">
        <v>159</v>
      </c>
      <c r="C64" s="47" t="s">
        <v>485</v>
      </c>
      <c r="D64" s="19" t="s">
        <v>519</v>
      </c>
      <c r="E64" s="20" t="s">
        <v>520</v>
      </c>
      <c r="F64" s="20" t="s">
        <v>521</v>
      </c>
      <c r="G64" s="20" t="s">
        <v>522</v>
      </c>
      <c r="H64" s="20" t="s">
        <v>284</v>
      </c>
      <c r="I64" s="45" t="s">
        <v>166</v>
      </c>
      <c r="J64" s="45" t="s">
        <v>167</v>
      </c>
      <c r="K64" s="49"/>
      <c r="L64" s="20" t="s">
        <v>200</v>
      </c>
    </row>
    <row r="65" ht="14.25" customHeight="1">
      <c r="A65" s="45">
        <v>62.0</v>
      </c>
      <c r="B65" s="46" t="s">
        <v>159</v>
      </c>
      <c r="C65" s="47" t="s">
        <v>485</v>
      </c>
      <c r="D65" s="19" t="s">
        <v>523</v>
      </c>
      <c r="E65" s="20" t="s">
        <v>524</v>
      </c>
      <c r="F65" s="20" t="s">
        <v>525</v>
      </c>
      <c r="G65" s="20" t="s">
        <v>526</v>
      </c>
      <c r="H65" s="20" t="s">
        <v>527</v>
      </c>
      <c r="I65" s="45" t="s">
        <v>166</v>
      </c>
      <c r="J65" s="45" t="s">
        <v>167</v>
      </c>
      <c r="K65" s="49"/>
      <c r="L65" s="20" t="s">
        <v>513</v>
      </c>
    </row>
    <row r="66" ht="14.25" customHeight="1">
      <c r="A66" s="23">
        <v>63.0</v>
      </c>
      <c r="B66" s="24" t="s">
        <v>159</v>
      </c>
      <c r="C66" s="25" t="s">
        <v>528</v>
      </c>
      <c r="D66" s="26" t="s">
        <v>529</v>
      </c>
      <c r="E66" s="27" t="s">
        <v>530</v>
      </c>
      <c r="F66" s="27" t="s">
        <v>531</v>
      </c>
      <c r="G66" s="27" t="s">
        <v>532</v>
      </c>
      <c r="H66" s="27" t="s">
        <v>533</v>
      </c>
      <c r="I66" s="23" t="s">
        <v>166</v>
      </c>
      <c r="J66" s="23" t="s">
        <v>167</v>
      </c>
      <c r="K66" s="29" t="s">
        <v>534</v>
      </c>
      <c r="L66" s="27" t="s">
        <v>535</v>
      </c>
    </row>
    <row r="67" ht="14.25" customHeight="1">
      <c r="A67" s="45">
        <v>64.0</v>
      </c>
      <c r="B67" s="46" t="s">
        <v>159</v>
      </c>
      <c r="C67" s="47" t="s">
        <v>528</v>
      </c>
      <c r="D67" s="19" t="s">
        <v>536</v>
      </c>
      <c r="E67" s="20" t="s">
        <v>537</v>
      </c>
      <c r="F67" s="20" t="s">
        <v>538</v>
      </c>
      <c r="G67" s="20" t="s">
        <v>539</v>
      </c>
      <c r="H67" s="20" t="s">
        <v>540</v>
      </c>
      <c r="I67" s="45" t="s">
        <v>166</v>
      </c>
      <c r="J67" s="45" t="s">
        <v>167</v>
      </c>
      <c r="K67" s="49"/>
      <c r="L67" s="20" t="s">
        <v>541</v>
      </c>
    </row>
    <row r="68" ht="14.25" customHeight="1">
      <c r="A68" s="45">
        <v>65.0</v>
      </c>
      <c r="B68" s="46" t="s">
        <v>159</v>
      </c>
      <c r="C68" s="47" t="s">
        <v>528</v>
      </c>
      <c r="D68" s="19" t="s">
        <v>542</v>
      </c>
      <c r="E68" s="20" t="s">
        <v>543</v>
      </c>
      <c r="F68" s="20" t="s">
        <v>544</v>
      </c>
      <c r="G68" s="20" t="s">
        <v>545</v>
      </c>
      <c r="H68" s="20" t="s">
        <v>546</v>
      </c>
      <c r="I68" s="45" t="s">
        <v>166</v>
      </c>
      <c r="J68" s="45" t="s">
        <v>167</v>
      </c>
      <c r="K68" s="49"/>
      <c r="L68" s="20" t="s">
        <v>535</v>
      </c>
    </row>
    <row r="69" ht="14.25" customHeight="1">
      <c r="A69" s="45">
        <v>66.0</v>
      </c>
      <c r="B69" s="46" t="s">
        <v>159</v>
      </c>
      <c r="C69" s="47" t="s">
        <v>528</v>
      </c>
      <c r="D69" s="19" t="s">
        <v>547</v>
      </c>
      <c r="E69" s="20" t="s">
        <v>548</v>
      </c>
      <c r="F69" s="20" t="s">
        <v>549</v>
      </c>
      <c r="G69" s="20" t="s">
        <v>550</v>
      </c>
      <c r="H69" s="20" t="s">
        <v>551</v>
      </c>
      <c r="I69" s="45" t="s">
        <v>166</v>
      </c>
      <c r="J69" s="45" t="s">
        <v>167</v>
      </c>
      <c r="K69" s="49"/>
      <c r="L69" s="20" t="s">
        <v>535</v>
      </c>
    </row>
    <row r="70" ht="14.25" customHeight="1">
      <c r="A70" s="45">
        <v>67.0</v>
      </c>
      <c r="B70" s="46" t="s">
        <v>159</v>
      </c>
      <c r="C70" s="47" t="s">
        <v>528</v>
      </c>
      <c r="D70" s="19" t="s">
        <v>552</v>
      </c>
      <c r="E70" s="20" t="s">
        <v>553</v>
      </c>
      <c r="F70" s="20" t="s">
        <v>554</v>
      </c>
      <c r="G70" s="20" t="s">
        <v>555</v>
      </c>
      <c r="H70" s="20" t="s">
        <v>556</v>
      </c>
      <c r="I70" s="45" t="s">
        <v>166</v>
      </c>
      <c r="J70" s="45" t="s">
        <v>167</v>
      </c>
      <c r="K70" s="49"/>
      <c r="L70" s="20" t="s">
        <v>557</v>
      </c>
    </row>
    <row r="71" ht="14.25" customHeight="1">
      <c r="A71" s="45">
        <v>68.0</v>
      </c>
      <c r="B71" s="46" t="s">
        <v>159</v>
      </c>
      <c r="C71" s="47" t="s">
        <v>528</v>
      </c>
      <c r="D71" s="19" t="s">
        <v>558</v>
      </c>
      <c r="E71" s="20" t="s">
        <v>559</v>
      </c>
      <c r="F71" s="20" t="s">
        <v>560</v>
      </c>
      <c r="G71" s="20" t="s">
        <v>561</v>
      </c>
      <c r="H71" s="20" t="s">
        <v>562</v>
      </c>
      <c r="I71" s="45" t="s">
        <v>166</v>
      </c>
      <c r="J71" s="45" t="s">
        <v>167</v>
      </c>
      <c r="K71" s="49"/>
      <c r="L71" s="20" t="s">
        <v>563</v>
      </c>
    </row>
    <row r="72" ht="14.25" customHeight="1">
      <c r="A72" s="37">
        <v>69.0</v>
      </c>
      <c r="B72" s="38" t="s">
        <v>159</v>
      </c>
      <c r="C72" s="39" t="s">
        <v>528</v>
      </c>
      <c r="D72" s="40" t="s">
        <v>564</v>
      </c>
      <c r="E72" s="41" t="s">
        <v>565</v>
      </c>
      <c r="F72" s="41" t="s">
        <v>566</v>
      </c>
      <c r="G72" s="41" t="s">
        <v>567</v>
      </c>
      <c r="H72" s="41" t="s">
        <v>568</v>
      </c>
      <c r="I72" s="37" t="s">
        <v>166</v>
      </c>
      <c r="J72" s="42" t="s">
        <v>188</v>
      </c>
      <c r="K72" s="43" t="s">
        <v>569</v>
      </c>
      <c r="L72" s="41" t="s">
        <v>535</v>
      </c>
    </row>
    <row r="73" ht="14.25" customHeight="1">
      <c r="A73" s="51">
        <v>1.0</v>
      </c>
      <c r="B73" s="52" t="s">
        <v>570</v>
      </c>
      <c r="C73" s="53" t="s">
        <v>571</v>
      </c>
      <c r="D73" s="54" t="s">
        <v>572</v>
      </c>
      <c r="E73" s="55" t="s">
        <v>573</v>
      </c>
      <c r="F73" s="56" t="s">
        <v>574</v>
      </c>
      <c r="G73" s="56" t="s">
        <v>575</v>
      </c>
      <c r="H73" s="56" t="s">
        <v>576</v>
      </c>
      <c r="I73" s="51" t="s">
        <v>166</v>
      </c>
      <c r="J73" s="57" t="s">
        <v>188</v>
      </c>
      <c r="K73" s="58" t="s">
        <v>577</v>
      </c>
      <c r="L73" s="56" t="s">
        <v>578</v>
      </c>
    </row>
    <row r="74" ht="14.25" customHeight="1">
      <c r="A74" s="37">
        <v>2.0</v>
      </c>
      <c r="B74" s="38" t="s">
        <v>570</v>
      </c>
      <c r="C74" s="39" t="s">
        <v>571</v>
      </c>
      <c r="D74" s="40" t="s">
        <v>579</v>
      </c>
      <c r="E74" s="41" t="s">
        <v>580</v>
      </c>
      <c r="F74" s="41" t="s">
        <v>581</v>
      </c>
      <c r="G74" s="41" t="s">
        <v>582</v>
      </c>
      <c r="H74" s="41" t="s">
        <v>583</v>
      </c>
      <c r="I74" s="37" t="s">
        <v>166</v>
      </c>
      <c r="J74" s="42" t="s">
        <v>188</v>
      </c>
      <c r="K74" s="43" t="s">
        <v>584</v>
      </c>
      <c r="L74" s="41" t="s">
        <v>371</v>
      </c>
    </row>
    <row r="75" ht="14.25" customHeight="1">
      <c r="A75" s="63">
        <v>3.0</v>
      </c>
      <c r="B75" s="64" t="s">
        <v>570</v>
      </c>
      <c r="C75" s="65" t="s">
        <v>571</v>
      </c>
      <c r="D75" s="66" t="s">
        <v>585</v>
      </c>
      <c r="E75" s="67" t="s">
        <v>586</v>
      </c>
      <c r="F75" s="67" t="s">
        <v>587</v>
      </c>
      <c r="G75" s="67" t="s">
        <v>588</v>
      </c>
      <c r="H75" s="67" t="s">
        <v>589</v>
      </c>
      <c r="I75" s="63" t="s">
        <v>166</v>
      </c>
      <c r="J75" s="68" t="s">
        <v>590</v>
      </c>
      <c r="K75" s="69" t="s">
        <v>591</v>
      </c>
      <c r="L75" s="67" t="s">
        <v>592</v>
      </c>
    </row>
    <row r="76" ht="14.25" customHeight="1">
      <c r="A76" s="37">
        <v>4.0</v>
      </c>
      <c r="B76" s="38" t="s">
        <v>570</v>
      </c>
      <c r="C76" s="39" t="s">
        <v>571</v>
      </c>
      <c r="D76" s="40" t="s">
        <v>593</v>
      </c>
      <c r="E76" s="41" t="s">
        <v>594</v>
      </c>
      <c r="F76" s="41" t="s">
        <v>595</v>
      </c>
      <c r="G76" s="41" t="s">
        <v>596</v>
      </c>
      <c r="H76" s="41" t="s">
        <v>597</v>
      </c>
      <c r="I76" s="37" t="s">
        <v>166</v>
      </c>
      <c r="J76" s="42" t="s">
        <v>188</v>
      </c>
      <c r="K76" s="43" t="s">
        <v>598</v>
      </c>
      <c r="L76" s="41" t="s">
        <v>599</v>
      </c>
    </row>
    <row r="77" ht="14.25" customHeight="1">
      <c r="A77" s="45">
        <v>5.0</v>
      </c>
      <c r="B77" s="46" t="s">
        <v>570</v>
      </c>
      <c r="C77" s="47" t="s">
        <v>571</v>
      </c>
      <c r="D77" s="19" t="s">
        <v>600</v>
      </c>
      <c r="E77" s="20" t="s">
        <v>601</v>
      </c>
      <c r="F77" s="20" t="s">
        <v>602</v>
      </c>
      <c r="G77" s="20" t="s">
        <v>603</v>
      </c>
      <c r="H77" s="20" t="s">
        <v>518</v>
      </c>
      <c r="I77" s="45" t="s">
        <v>166</v>
      </c>
      <c r="J77" s="45" t="s">
        <v>167</v>
      </c>
      <c r="K77" s="49"/>
      <c r="L77" s="20" t="s">
        <v>578</v>
      </c>
    </row>
    <row r="78" ht="14.25" customHeight="1">
      <c r="A78" s="37">
        <v>6.0</v>
      </c>
      <c r="B78" s="38" t="s">
        <v>570</v>
      </c>
      <c r="C78" s="39" t="s">
        <v>571</v>
      </c>
      <c r="D78" s="40" t="s">
        <v>604</v>
      </c>
      <c r="E78" s="41" t="s">
        <v>605</v>
      </c>
      <c r="F78" s="41" t="s">
        <v>606</v>
      </c>
      <c r="G78" s="41" t="s">
        <v>607</v>
      </c>
      <c r="H78" s="41" t="s">
        <v>608</v>
      </c>
      <c r="I78" s="37" t="s">
        <v>166</v>
      </c>
      <c r="J78" s="42" t="s">
        <v>188</v>
      </c>
      <c r="K78" s="43" t="s">
        <v>609</v>
      </c>
      <c r="L78" s="41" t="s">
        <v>305</v>
      </c>
    </row>
    <row r="79" ht="14.25" customHeight="1">
      <c r="A79" s="30">
        <v>7.0</v>
      </c>
      <c r="B79" s="31" t="s">
        <v>570</v>
      </c>
      <c r="C79" s="32" t="s">
        <v>571</v>
      </c>
      <c r="D79" s="33" t="s">
        <v>610</v>
      </c>
      <c r="E79" s="34" t="s">
        <v>611</v>
      </c>
      <c r="F79" s="34" t="s">
        <v>612</v>
      </c>
      <c r="G79" s="34" t="s">
        <v>613</v>
      </c>
      <c r="H79" s="34" t="s">
        <v>614</v>
      </c>
      <c r="I79" s="30" t="s">
        <v>227</v>
      </c>
      <c r="J79" s="35" t="s">
        <v>175</v>
      </c>
      <c r="K79" s="36" t="s">
        <v>615</v>
      </c>
      <c r="L79" s="34" t="s">
        <v>411</v>
      </c>
    </row>
    <row r="80" ht="14.25" customHeight="1">
      <c r="A80" s="45">
        <v>8.0</v>
      </c>
      <c r="B80" s="46" t="s">
        <v>570</v>
      </c>
      <c r="C80" s="47" t="s">
        <v>571</v>
      </c>
      <c r="D80" s="19" t="s">
        <v>616</v>
      </c>
      <c r="E80" s="48" t="s">
        <v>617</v>
      </c>
      <c r="F80" s="20" t="s">
        <v>618</v>
      </c>
      <c r="G80" s="20" t="s">
        <v>619</v>
      </c>
      <c r="H80" s="20" t="s">
        <v>620</v>
      </c>
      <c r="I80" s="45" t="s">
        <v>166</v>
      </c>
      <c r="J80" s="45" t="s">
        <v>167</v>
      </c>
      <c r="K80" s="49"/>
      <c r="L80" s="20" t="s">
        <v>310</v>
      </c>
    </row>
    <row r="81" ht="14.25" customHeight="1">
      <c r="A81" s="45">
        <v>9.0</v>
      </c>
      <c r="B81" s="46" t="s">
        <v>570</v>
      </c>
      <c r="C81" s="47" t="s">
        <v>571</v>
      </c>
      <c r="D81" s="19" t="s">
        <v>621</v>
      </c>
      <c r="E81" s="20" t="s">
        <v>622</v>
      </c>
      <c r="F81" s="20" t="s">
        <v>623</v>
      </c>
      <c r="G81" s="20" t="s">
        <v>624</v>
      </c>
      <c r="H81" s="20" t="s">
        <v>625</v>
      </c>
      <c r="I81" s="45" t="s">
        <v>166</v>
      </c>
      <c r="J81" s="45" t="s">
        <v>167</v>
      </c>
      <c r="K81" s="49"/>
      <c r="L81" s="20" t="s">
        <v>557</v>
      </c>
    </row>
    <row r="82" ht="14.25" customHeight="1">
      <c r="A82" s="45">
        <v>10.0</v>
      </c>
      <c r="B82" s="46" t="s">
        <v>570</v>
      </c>
      <c r="C82" s="47" t="s">
        <v>571</v>
      </c>
      <c r="D82" s="19" t="s">
        <v>626</v>
      </c>
      <c r="E82" s="48" t="s">
        <v>627</v>
      </c>
      <c r="F82" s="20" t="s">
        <v>628</v>
      </c>
      <c r="G82" s="20" t="s">
        <v>629</v>
      </c>
      <c r="H82" s="20" t="s">
        <v>630</v>
      </c>
      <c r="I82" s="45" t="s">
        <v>166</v>
      </c>
      <c r="J82" s="45" t="s">
        <v>167</v>
      </c>
      <c r="K82" s="49"/>
      <c r="L82" s="20" t="s">
        <v>631</v>
      </c>
    </row>
    <row r="83" ht="14.25" customHeight="1">
      <c r="A83" s="45">
        <v>11.0</v>
      </c>
      <c r="B83" s="46" t="s">
        <v>570</v>
      </c>
      <c r="C83" s="47" t="s">
        <v>571</v>
      </c>
      <c r="D83" s="19" t="s">
        <v>632</v>
      </c>
      <c r="E83" s="20" t="s">
        <v>633</v>
      </c>
      <c r="F83" s="20" t="s">
        <v>634</v>
      </c>
      <c r="G83" s="20" t="s">
        <v>635</v>
      </c>
      <c r="H83" s="20" t="s">
        <v>636</v>
      </c>
      <c r="I83" s="45" t="s">
        <v>166</v>
      </c>
      <c r="J83" s="45" t="s">
        <v>167</v>
      </c>
      <c r="K83" s="49"/>
      <c r="L83" s="20" t="s">
        <v>631</v>
      </c>
    </row>
    <row r="84" ht="14.25" customHeight="1">
      <c r="A84" s="45">
        <v>12.0</v>
      </c>
      <c r="B84" s="46" t="s">
        <v>570</v>
      </c>
      <c r="C84" s="47" t="s">
        <v>571</v>
      </c>
      <c r="D84" s="19" t="s">
        <v>637</v>
      </c>
      <c r="E84" s="48" t="s">
        <v>638</v>
      </c>
      <c r="F84" s="20" t="s">
        <v>639</v>
      </c>
      <c r="G84" s="20" t="s">
        <v>640</v>
      </c>
      <c r="H84" s="20" t="s">
        <v>641</v>
      </c>
      <c r="I84" s="45" t="s">
        <v>166</v>
      </c>
      <c r="J84" s="45" t="s">
        <v>167</v>
      </c>
      <c r="K84" s="49"/>
      <c r="L84" s="20" t="s">
        <v>428</v>
      </c>
    </row>
    <row r="85" ht="14.25" customHeight="1">
      <c r="A85" s="45">
        <v>13.0</v>
      </c>
      <c r="B85" s="46" t="s">
        <v>570</v>
      </c>
      <c r="C85" s="47" t="s">
        <v>571</v>
      </c>
      <c r="D85" s="19" t="s">
        <v>642</v>
      </c>
      <c r="E85" s="20" t="s">
        <v>643</v>
      </c>
      <c r="F85" s="20" t="s">
        <v>644</v>
      </c>
      <c r="G85" s="20" t="s">
        <v>645</v>
      </c>
      <c r="H85" s="20" t="s">
        <v>646</v>
      </c>
      <c r="I85" s="45" t="s">
        <v>166</v>
      </c>
      <c r="J85" s="45" t="s">
        <v>167</v>
      </c>
      <c r="K85" s="49"/>
      <c r="L85" s="20" t="s">
        <v>364</v>
      </c>
    </row>
    <row r="86" ht="14.25" customHeight="1">
      <c r="A86" s="70">
        <v>14.0</v>
      </c>
      <c r="B86" s="71" t="s">
        <v>570</v>
      </c>
      <c r="C86" s="72" t="s">
        <v>571</v>
      </c>
      <c r="D86" s="73" t="s">
        <v>647</v>
      </c>
      <c r="E86" s="74" t="s">
        <v>648</v>
      </c>
      <c r="F86" s="75" t="s">
        <v>649</v>
      </c>
      <c r="G86" s="75" t="s">
        <v>650</v>
      </c>
      <c r="H86" s="75" t="s">
        <v>651</v>
      </c>
      <c r="I86" s="70" t="s">
        <v>166</v>
      </c>
      <c r="J86" s="70" t="s">
        <v>167</v>
      </c>
      <c r="K86" s="76"/>
      <c r="L86" s="75" t="s">
        <v>364</v>
      </c>
      <c r="M86" s="77"/>
      <c r="N86" s="77"/>
      <c r="O86" s="77"/>
      <c r="P86" s="77"/>
      <c r="Q86" s="77"/>
      <c r="R86" s="77"/>
      <c r="S86" s="77"/>
      <c r="T86" s="77"/>
      <c r="U86" s="77"/>
      <c r="V86" s="77"/>
      <c r="W86" s="77"/>
      <c r="X86" s="77"/>
      <c r="Y86" s="77"/>
      <c r="Z86" s="77"/>
    </row>
    <row r="87" ht="14.25" customHeight="1">
      <c r="A87" s="37">
        <v>15.0</v>
      </c>
      <c r="B87" s="38" t="s">
        <v>570</v>
      </c>
      <c r="C87" s="39" t="s">
        <v>571</v>
      </c>
      <c r="D87" s="40" t="s">
        <v>652</v>
      </c>
      <c r="E87" s="44" t="s">
        <v>653</v>
      </c>
      <c r="F87" s="41" t="s">
        <v>654</v>
      </c>
      <c r="G87" s="41" t="s">
        <v>655</v>
      </c>
      <c r="H87" s="41" t="s">
        <v>656</v>
      </c>
      <c r="I87" s="37" t="s">
        <v>166</v>
      </c>
      <c r="J87" s="42" t="s">
        <v>188</v>
      </c>
      <c r="K87" s="43" t="s">
        <v>657</v>
      </c>
      <c r="L87" s="41" t="s">
        <v>371</v>
      </c>
    </row>
    <row r="88" ht="14.25" customHeight="1">
      <c r="A88" s="45">
        <v>16.0</v>
      </c>
      <c r="B88" s="46" t="s">
        <v>570</v>
      </c>
      <c r="C88" s="47" t="s">
        <v>571</v>
      </c>
      <c r="D88" s="19" t="s">
        <v>658</v>
      </c>
      <c r="E88" s="48" t="s">
        <v>659</v>
      </c>
      <c r="F88" s="20" t="s">
        <v>660</v>
      </c>
      <c r="G88" s="20" t="s">
        <v>661</v>
      </c>
      <c r="H88" s="20" t="s">
        <v>662</v>
      </c>
      <c r="I88" s="45" t="s">
        <v>166</v>
      </c>
      <c r="J88" s="45" t="s">
        <v>167</v>
      </c>
      <c r="K88" s="49"/>
      <c r="L88" s="20" t="s">
        <v>462</v>
      </c>
    </row>
    <row r="89" ht="14.25" customHeight="1">
      <c r="A89" s="45">
        <v>17.0</v>
      </c>
      <c r="B89" s="46" t="s">
        <v>570</v>
      </c>
      <c r="C89" s="47" t="s">
        <v>571</v>
      </c>
      <c r="D89" s="19" t="s">
        <v>663</v>
      </c>
      <c r="E89" s="48" t="s">
        <v>664</v>
      </c>
      <c r="F89" s="20" t="s">
        <v>639</v>
      </c>
      <c r="G89" s="20" t="s">
        <v>665</v>
      </c>
      <c r="H89" s="20" t="s">
        <v>666</v>
      </c>
      <c r="I89" s="45" t="s">
        <v>166</v>
      </c>
      <c r="J89" s="45" t="s">
        <v>167</v>
      </c>
      <c r="K89" s="49"/>
      <c r="L89" s="20" t="s">
        <v>371</v>
      </c>
    </row>
    <row r="90" ht="14.25" customHeight="1">
      <c r="A90" s="45">
        <v>18.0</v>
      </c>
      <c r="B90" s="46" t="s">
        <v>570</v>
      </c>
      <c r="C90" s="47" t="s">
        <v>571</v>
      </c>
      <c r="D90" s="19" t="s">
        <v>667</v>
      </c>
      <c r="E90" s="20" t="s">
        <v>668</v>
      </c>
      <c r="F90" s="20" t="s">
        <v>669</v>
      </c>
      <c r="G90" s="20" t="s">
        <v>670</v>
      </c>
      <c r="H90" s="20" t="s">
        <v>671</v>
      </c>
      <c r="I90" s="45" t="s">
        <v>166</v>
      </c>
      <c r="J90" s="45" t="s">
        <v>167</v>
      </c>
      <c r="K90" s="49"/>
      <c r="L90" s="20" t="s">
        <v>200</v>
      </c>
    </row>
    <row r="91" ht="14.25" customHeight="1">
      <c r="A91" s="45">
        <v>19.0</v>
      </c>
      <c r="B91" s="46" t="s">
        <v>570</v>
      </c>
      <c r="C91" s="47" t="s">
        <v>571</v>
      </c>
      <c r="D91" s="19" t="s">
        <v>672</v>
      </c>
      <c r="E91" s="48" t="s">
        <v>673</v>
      </c>
      <c r="F91" s="20" t="s">
        <v>674</v>
      </c>
      <c r="G91" s="20" t="s">
        <v>675</v>
      </c>
      <c r="H91" s="20" t="s">
        <v>518</v>
      </c>
      <c r="I91" s="45" t="s">
        <v>166</v>
      </c>
      <c r="J91" s="45" t="s">
        <v>167</v>
      </c>
      <c r="K91" s="49"/>
      <c r="L91" s="20" t="s">
        <v>377</v>
      </c>
    </row>
    <row r="92" ht="14.25" customHeight="1">
      <c r="A92" s="45">
        <v>20.0</v>
      </c>
      <c r="B92" s="46" t="s">
        <v>570</v>
      </c>
      <c r="C92" s="47" t="s">
        <v>571</v>
      </c>
      <c r="D92" s="19" t="s">
        <v>676</v>
      </c>
      <c r="E92" s="48" t="s">
        <v>677</v>
      </c>
      <c r="F92" s="20" t="s">
        <v>678</v>
      </c>
      <c r="G92" s="20" t="s">
        <v>679</v>
      </c>
      <c r="H92" s="20" t="s">
        <v>680</v>
      </c>
      <c r="I92" s="45" t="s">
        <v>166</v>
      </c>
      <c r="J92" s="45" t="s">
        <v>167</v>
      </c>
      <c r="K92" s="49"/>
      <c r="L92" s="20" t="s">
        <v>681</v>
      </c>
    </row>
    <row r="93" ht="14.25" customHeight="1">
      <c r="A93" s="59">
        <v>21.0</v>
      </c>
      <c r="B93" s="60" t="s">
        <v>570</v>
      </c>
      <c r="C93" s="61" t="s">
        <v>571</v>
      </c>
      <c r="D93" s="13" t="s">
        <v>682</v>
      </c>
      <c r="E93" s="15" t="s">
        <v>683</v>
      </c>
      <c r="F93" s="15" t="s">
        <v>684</v>
      </c>
      <c r="G93" s="15" t="s">
        <v>685</v>
      </c>
      <c r="H93" s="15" t="s">
        <v>686</v>
      </c>
      <c r="I93" s="59" t="s">
        <v>498</v>
      </c>
      <c r="J93" s="10" t="s">
        <v>499</v>
      </c>
      <c r="K93" s="62" t="s">
        <v>687</v>
      </c>
      <c r="L93" s="15" t="s">
        <v>501</v>
      </c>
    </row>
    <row r="94" ht="14.25" customHeight="1">
      <c r="A94" s="37">
        <v>22.0</v>
      </c>
      <c r="B94" s="38" t="s">
        <v>570</v>
      </c>
      <c r="C94" s="39" t="s">
        <v>571</v>
      </c>
      <c r="D94" s="40" t="s">
        <v>688</v>
      </c>
      <c r="E94" s="44" t="s">
        <v>689</v>
      </c>
      <c r="F94" s="41" t="s">
        <v>690</v>
      </c>
      <c r="G94" s="41" t="s">
        <v>691</v>
      </c>
      <c r="H94" s="41" t="s">
        <v>692</v>
      </c>
      <c r="I94" s="37" t="s">
        <v>166</v>
      </c>
      <c r="J94" s="42" t="s">
        <v>188</v>
      </c>
      <c r="K94" s="43" t="s">
        <v>693</v>
      </c>
      <c r="L94" s="41" t="s">
        <v>694</v>
      </c>
    </row>
    <row r="95" ht="14.25" customHeight="1">
      <c r="A95" s="45">
        <v>23.0</v>
      </c>
      <c r="B95" s="46" t="s">
        <v>570</v>
      </c>
      <c r="C95" s="47" t="s">
        <v>571</v>
      </c>
      <c r="D95" s="19" t="s">
        <v>695</v>
      </c>
      <c r="E95" s="20" t="s">
        <v>696</v>
      </c>
      <c r="F95" s="20" t="s">
        <v>697</v>
      </c>
      <c r="G95" s="20" t="s">
        <v>698</v>
      </c>
      <c r="H95" s="20" t="s">
        <v>699</v>
      </c>
      <c r="I95" s="45" t="s">
        <v>166</v>
      </c>
      <c r="J95" s="45" t="s">
        <v>167</v>
      </c>
      <c r="K95" s="49"/>
      <c r="L95" s="20" t="s">
        <v>563</v>
      </c>
    </row>
    <row r="96" ht="14.25" customHeight="1">
      <c r="A96" s="51">
        <v>24.0</v>
      </c>
      <c r="B96" s="52" t="s">
        <v>570</v>
      </c>
      <c r="C96" s="53" t="s">
        <v>700</v>
      </c>
      <c r="D96" s="54" t="s">
        <v>701</v>
      </c>
      <c r="E96" s="55" t="s">
        <v>702</v>
      </c>
      <c r="F96" s="56" t="s">
        <v>703</v>
      </c>
      <c r="G96" s="56" t="s">
        <v>704</v>
      </c>
      <c r="H96" s="56" t="s">
        <v>576</v>
      </c>
      <c r="I96" s="51" t="s">
        <v>166</v>
      </c>
      <c r="J96" s="57" t="s">
        <v>188</v>
      </c>
      <c r="K96" s="58" t="s">
        <v>705</v>
      </c>
      <c r="L96" s="56" t="s">
        <v>578</v>
      </c>
    </row>
    <row r="97" ht="14.25" customHeight="1">
      <c r="A97" s="45">
        <v>25.0</v>
      </c>
      <c r="B97" s="46" t="s">
        <v>570</v>
      </c>
      <c r="C97" s="47" t="s">
        <v>700</v>
      </c>
      <c r="D97" s="19" t="s">
        <v>706</v>
      </c>
      <c r="E97" s="48" t="s">
        <v>707</v>
      </c>
      <c r="F97" s="20" t="s">
        <v>708</v>
      </c>
      <c r="G97" s="20" t="s">
        <v>709</v>
      </c>
      <c r="H97" s="20" t="s">
        <v>666</v>
      </c>
      <c r="I97" s="45" t="s">
        <v>166</v>
      </c>
      <c r="J97" s="45" t="s">
        <v>167</v>
      </c>
      <c r="K97" s="49"/>
      <c r="L97" s="20" t="s">
        <v>371</v>
      </c>
    </row>
    <row r="98" ht="14.25" customHeight="1">
      <c r="A98" s="30">
        <v>26.0</v>
      </c>
      <c r="B98" s="31" t="s">
        <v>570</v>
      </c>
      <c r="C98" s="32" t="s">
        <v>700</v>
      </c>
      <c r="D98" s="33" t="s">
        <v>710</v>
      </c>
      <c r="E98" s="50" t="s">
        <v>711</v>
      </c>
      <c r="F98" s="34" t="s">
        <v>712</v>
      </c>
      <c r="G98" s="34" t="s">
        <v>713</v>
      </c>
      <c r="H98" s="34" t="s">
        <v>714</v>
      </c>
      <c r="I98" s="30" t="s">
        <v>166</v>
      </c>
      <c r="J98" s="35" t="s">
        <v>175</v>
      </c>
      <c r="K98" s="36" t="s">
        <v>715</v>
      </c>
      <c r="L98" s="34" t="s">
        <v>169</v>
      </c>
    </row>
    <row r="99" ht="14.25" customHeight="1">
      <c r="A99" s="30">
        <v>27.0</v>
      </c>
      <c r="B99" s="31" t="s">
        <v>570</v>
      </c>
      <c r="C99" s="32" t="s">
        <v>700</v>
      </c>
      <c r="D99" s="33" t="s">
        <v>716</v>
      </c>
      <c r="E99" s="50" t="s">
        <v>717</v>
      </c>
      <c r="F99" s="34" t="s">
        <v>718</v>
      </c>
      <c r="G99" s="34" t="s">
        <v>719</v>
      </c>
      <c r="H99" s="34" t="s">
        <v>720</v>
      </c>
      <c r="I99" s="30" t="s">
        <v>166</v>
      </c>
      <c r="J99" s="35" t="s">
        <v>175</v>
      </c>
      <c r="K99" s="36" t="s">
        <v>721</v>
      </c>
      <c r="L99" s="34" t="s">
        <v>169</v>
      </c>
    </row>
    <row r="100" ht="14.25" customHeight="1">
      <c r="A100" s="70">
        <v>28.0</v>
      </c>
      <c r="B100" s="71" t="s">
        <v>570</v>
      </c>
      <c r="C100" s="72" t="s">
        <v>700</v>
      </c>
      <c r="D100" s="73" t="s">
        <v>722</v>
      </c>
      <c r="E100" s="74" t="s">
        <v>723</v>
      </c>
      <c r="F100" s="75" t="s">
        <v>724</v>
      </c>
      <c r="G100" s="75" t="s">
        <v>725</v>
      </c>
      <c r="H100" s="75" t="s">
        <v>726</v>
      </c>
      <c r="I100" s="70" t="s">
        <v>227</v>
      </c>
      <c r="J100" s="78" t="s">
        <v>175</v>
      </c>
      <c r="K100" s="76" t="s">
        <v>727</v>
      </c>
      <c r="L100" s="75" t="s">
        <v>728</v>
      </c>
      <c r="M100" s="77"/>
      <c r="N100" s="77"/>
      <c r="O100" s="77"/>
      <c r="P100" s="77"/>
      <c r="Q100" s="77"/>
      <c r="R100" s="77"/>
      <c r="S100" s="77"/>
      <c r="T100" s="77"/>
      <c r="U100" s="77"/>
      <c r="V100" s="77"/>
      <c r="W100" s="77"/>
      <c r="X100" s="77"/>
      <c r="Y100" s="77"/>
      <c r="Z100" s="77"/>
    </row>
    <row r="101" ht="14.25" customHeight="1">
      <c r="A101" s="45">
        <v>29.0</v>
      </c>
      <c r="B101" s="46" t="s">
        <v>570</v>
      </c>
      <c r="C101" s="47" t="s">
        <v>700</v>
      </c>
      <c r="D101" s="19" t="s">
        <v>729</v>
      </c>
      <c r="E101" s="48" t="s">
        <v>730</v>
      </c>
      <c r="F101" s="20" t="s">
        <v>731</v>
      </c>
      <c r="G101" s="20" t="s">
        <v>732</v>
      </c>
      <c r="H101" s="20" t="s">
        <v>733</v>
      </c>
      <c r="I101" s="45" t="s">
        <v>166</v>
      </c>
      <c r="J101" s="45" t="s">
        <v>167</v>
      </c>
      <c r="K101" s="49"/>
      <c r="L101" s="20" t="s">
        <v>364</v>
      </c>
    </row>
    <row r="102" ht="14.25" customHeight="1">
      <c r="A102" s="70">
        <v>30.0</v>
      </c>
      <c r="B102" s="71" t="s">
        <v>570</v>
      </c>
      <c r="C102" s="72" t="s">
        <v>700</v>
      </c>
      <c r="D102" s="73" t="s">
        <v>734</v>
      </c>
      <c r="E102" s="75" t="s">
        <v>735</v>
      </c>
      <c r="F102" s="75" t="s">
        <v>736</v>
      </c>
      <c r="G102" s="75" t="s">
        <v>737</v>
      </c>
      <c r="H102" s="75" t="s">
        <v>651</v>
      </c>
      <c r="I102" s="70" t="s">
        <v>166</v>
      </c>
      <c r="J102" s="70" t="s">
        <v>167</v>
      </c>
      <c r="K102" s="76"/>
      <c r="L102" s="75" t="s">
        <v>364</v>
      </c>
      <c r="M102" s="77"/>
      <c r="N102" s="77"/>
      <c r="O102" s="77"/>
      <c r="P102" s="77"/>
      <c r="Q102" s="77"/>
      <c r="R102" s="77"/>
      <c r="S102" s="77"/>
      <c r="T102" s="77"/>
      <c r="U102" s="77"/>
      <c r="V102" s="77"/>
      <c r="W102" s="77"/>
      <c r="X102" s="77"/>
      <c r="Y102" s="77"/>
      <c r="Z102" s="77"/>
    </row>
    <row r="103" ht="14.25" customHeight="1">
      <c r="A103" s="45">
        <v>31.0</v>
      </c>
      <c r="B103" s="46" t="s">
        <v>570</v>
      </c>
      <c r="C103" s="47" t="s">
        <v>700</v>
      </c>
      <c r="D103" s="19" t="s">
        <v>738</v>
      </c>
      <c r="E103" s="20" t="s">
        <v>739</v>
      </c>
      <c r="F103" s="20" t="s">
        <v>740</v>
      </c>
      <c r="G103" s="20" t="s">
        <v>741</v>
      </c>
      <c r="H103" s="20" t="s">
        <v>742</v>
      </c>
      <c r="I103" s="45" t="s">
        <v>166</v>
      </c>
      <c r="J103" s="45" t="s">
        <v>167</v>
      </c>
      <c r="K103" s="49"/>
      <c r="L103" s="20" t="s">
        <v>364</v>
      </c>
    </row>
    <row r="104" ht="14.25" customHeight="1">
      <c r="A104" s="63">
        <v>32.0</v>
      </c>
      <c r="B104" s="64" t="s">
        <v>570</v>
      </c>
      <c r="C104" s="65" t="s">
        <v>700</v>
      </c>
      <c r="D104" s="66" t="s">
        <v>743</v>
      </c>
      <c r="E104" s="79" t="s">
        <v>744</v>
      </c>
      <c r="F104" s="67" t="s">
        <v>745</v>
      </c>
      <c r="G104" s="67" t="s">
        <v>746</v>
      </c>
      <c r="H104" s="67" t="s">
        <v>747</v>
      </c>
      <c r="I104" s="63" t="s">
        <v>166</v>
      </c>
      <c r="J104" s="68" t="s">
        <v>590</v>
      </c>
      <c r="K104" s="69" t="s">
        <v>748</v>
      </c>
      <c r="L104" s="67" t="s">
        <v>371</v>
      </c>
    </row>
    <row r="105" ht="14.25" customHeight="1">
      <c r="A105" s="63">
        <v>33.0</v>
      </c>
      <c r="B105" s="64" t="s">
        <v>570</v>
      </c>
      <c r="C105" s="65" t="s">
        <v>700</v>
      </c>
      <c r="D105" s="66" t="s">
        <v>749</v>
      </c>
      <c r="E105" s="79" t="s">
        <v>750</v>
      </c>
      <c r="F105" s="67" t="s">
        <v>751</v>
      </c>
      <c r="G105" s="67" t="s">
        <v>752</v>
      </c>
      <c r="H105" s="67" t="s">
        <v>753</v>
      </c>
      <c r="I105" s="63" t="s">
        <v>166</v>
      </c>
      <c r="J105" s="68" t="s">
        <v>590</v>
      </c>
      <c r="K105" s="69" t="s">
        <v>754</v>
      </c>
      <c r="L105" s="67" t="s">
        <v>371</v>
      </c>
    </row>
    <row r="106" ht="14.25" customHeight="1">
      <c r="A106" s="45">
        <v>34.0</v>
      </c>
      <c r="B106" s="46" t="s">
        <v>570</v>
      </c>
      <c r="C106" s="47" t="s">
        <v>700</v>
      </c>
      <c r="D106" s="19" t="s">
        <v>755</v>
      </c>
      <c r="E106" s="20" t="s">
        <v>756</v>
      </c>
      <c r="F106" s="20" t="s">
        <v>757</v>
      </c>
      <c r="G106" s="20" t="s">
        <v>758</v>
      </c>
      <c r="H106" s="20" t="s">
        <v>387</v>
      </c>
      <c r="I106" s="45" t="s">
        <v>166</v>
      </c>
      <c r="J106" s="45" t="s">
        <v>167</v>
      </c>
      <c r="K106" s="49"/>
      <c r="L106" s="20" t="s">
        <v>371</v>
      </c>
    </row>
    <row r="107" ht="14.25" customHeight="1">
      <c r="A107" s="45">
        <v>35.0</v>
      </c>
      <c r="B107" s="46" t="s">
        <v>570</v>
      </c>
      <c r="C107" s="47" t="s">
        <v>700</v>
      </c>
      <c r="D107" s="19" t="s">
        <v>759</v>
      </c>
      <c r="E107" s="20" t="s">
        <v>760</v>
      </c>
      <c r="F107" s="20" t="s">
        <v>761</v>
      </c>
      <c r="G107" s="20" t="s">
        <v>762</v>
      </c>
      <c r="H107" s="20" t="s">
        <v>763</v>
      </c>
      <c r="I107" s="45" t="s">
        <v>166</v>
      </c>
      <c r="J107" s="45" t="s">
        <v>167</v>
      </c>
      <c r="K107" s="49"/>
      <c r="L107" s="20" t="s">
        <v>631</v>
      </c>
    </row>
    <row r="108" ht="14.25" customHeight="1">
      <c r="A108" s="45">
        <v>36.0</v>
      </c>
      <c r="B108" s="46" t="s">
        <v>570</v>
      </c>
      <c r="C108" s="47" t="s">
        <v>700</v>
      </c>
      <c r="D108" s="19" t="s">
        <v>764</v>
      </c>
      <c r="E108" s="20" t="s">
        <v>765</v>
      </c>
      <c r="F108" s="20" t="s">
        <v>766</v>
      </c>
      <c r="G108" s="20" t="s">
        <v>767</v>
      </c>
      <c r="H108" s="20" t="s">
        <v>666</v>
      </c>
      <c r="I108" s="45" t="s">
        <v>166</v>
      </c>
      <c r="J108" s="45" t="s">
        <v>167</v>
      </c>
      <c r="K108" s="49"/>
      <c r="L108" s="20" t="s">
        <v>371</v>
      </c>
    </row>
    <row r="109" ht="14.25" customHeight="1">
      <c r="A109" s="45">
        <v>37.0</v>
      </c>
      <c r="B109" s="46" t="s">
        <v>570</v>
      </c>
      <c r="C109" s="47" t="s">
        <v>700</v>
      </c>
      <c r="D109" s="19" t="s">
        <v>768</v>
      </c>
      <c r="E109" s="20" t="s">
        <v>769</v>
      </c>
      <c r="F109" s="20" t="s">
        <v>770</v>
      </c>
      <c r="G109" s="20" t="s">
        <v>771</v>
      </c>
      <c r="H109" s="20" t="s">
        <v>772</v>
      </c>
      <c r="I109" s="45" t="s">
        <v>166</v>
      </c>
      <c r="J109" s="45" t="s">
        <v>167</v>
      </c>
      <c r="K109" s="49"/>
      <c r="L109" s="20" t="s">
        <v>501</v>
      </c>
    </row>
    <row r="110" ht="14.25" customHeight="1">
      <c r="A110" s="37">
        <v>38.0</v>
      </c>
      <c r="B110" s="38" t="s">
        <v>570</v>
      </c>
      <c r="C110" s="39" t="s">
        <v>700</v>
      </c>
      <c r="D110" s="40" t="s">
        <v>773</v>
      </c>
      <c r="E110" s="41" t="s">
        <v>774</v>
      </c>
      <c r="F110" s="41" t="s">
        <v>775</v>
      </c>
      <c r="G110" s="41" t="s">
        <v>776</v>
      </c>
      <c r="H110" s="41" t="s">
        <v>777</v>
      </c>
      <c r="I110" s="37" t="s">
        <v>166</v>
      </c>
      <c r="J110" s="42" t="s">
        <v>188</v>
      </c>
      <c r="K110" s="43" t="s">
        <v>778</v>
      </c>
      <c r="L110" s="41" t="s">
        <v>371</v>
      </c>
    </row>
    <row r="111" ht="14.25" customHeight="1">
      <c r="A111" s="45">
        <v>39.0</v>
      </c>
      <c r="B111" s="46" t="s">
        <v>570</v>
      </c>
      <c r="C111" s="47" t="s">
        <v>700</v>
      </c>
      <c r="D111" s="19" t="s">
        <v>779</v>
      </c>
      <c r="E111" s="20" t="s">
        <v>780</v>
      </c>
      <c r="F111" s="20" t="s">
        <v>781</v>
      </c>
      <c r="G111" s="20" t="s">
        <v>782</v>
      </c>
      <c r="H111" s="20" t="s">
        <v>747</v>
      </c>
      <c r="I111" s="45" t="s">
        <v>166</v>
      </c>
      <c r="J111" s="45" t="s">
        <v>167</v>
      </c>
      <c r="K111" s="49"/>
      <c r="L111" s="20" t="s">
        <v>513</v>
      </c>
    </row>
    <row r="112" ht="14.25" customHeight="1">
      <c r="A112" s="45">
        <v>40.0</v>
      </c>
      <c r="B112" s="46" t="s">
        <v>570</v>
      </c>
      <c r="C112" s="47" t="s">
        <v>700</v>
      </c>
      <c r="D112" s="19" t="s">
        <v>783</v>
      </c>
      <c r="E112" s="20" t="s">
        <v>784</v>
      </c>
      <c r="F112" s="20" t="s">
        <v>785</v>
      </c>
      <c r="G112" s="20" t="s">
        <v>786</v>
      </c>
      <c r="H112" s="20" t="s">
        <v>747</v>
      </c>
      <c r="I112" s="45" t="s">
        <v>166</v>
      </c>
      <c r="J112" s="45" t="s">
        <v>167</v>
      </c>
      <c r="K112" s="49"/>
      <c r="L112" s="20" t="s">
        <v>513</v>
      </c>
    </row>
    <row r="113" ht="14.25" customHeight="1">
      <c r="A113" s="45">
        <v>41.0</v>
      </c>
      <c r="B113" s="46" t="s">
        <v>570</v>
      </c>
      <c r="C113" s="47" t="s">
        <v>700</v>
      </c>
      <c r="D113" s="19" t="s">
        <v>787</v>
      </c>
      <c r="E113" s="20" t="s">
        <v>788</v>
      </c>
      <c r="F113" s="20" t="s">
        <v>789</v>
      </c>
      <c r="G113" s="20" t="s">
        <v>790</v>
      </c>
      <c r="H113" s="20" t="s">
        <v>791</v>
      </c>
      <c r="I113" s="45" t="s">
        <v>166</v>
      </c>
      <c r="J113" s="45" t="s">
        <v>167</v>
      </c>
      <c r="K113" s="49"/>
      <c r="L113" s="20" t="s">
        <v>681</v>
      </c>
    </row>
    <row r="114" ht="14.25" customHeight="1">
      <c r="A114" s="45">
        <v>42.0</v>
      </c>
      <c r="B114" s="46" t="s">
        <v>570</v>
      </c>
      <c r="C114" s="47" t="s">
        <v>700</v>
      </c>
      <c r="D114" s="19" t="s">
        <v>792</v>
      </c>
      <c r="E114" s="20" t="s">
        <v>793</v>
      </c>
      <c r="F114" s="20" t="s">
        <v>794</v>
      </c>
      <c r="G114" s="20" t="s">
        <v>795</v>
      </c>
      <c r="H114" s="20" t="s">
        <v>796</v>
      </c>
      <c r="I114" s="45" t="s">
        <v>166</v>
      </c>
      <c r="J114" s="45" t="s">
        <v>167</v>
      </c>
      <c r="K114" s="49"/>
      <c r="L114" s="20" t="s">
        <v>535</v>
      </c>
    </row>
    <row r="115" ht="14.25" customHeight="1">
      <c r="A115" s="59">
        <v>43.0</v>
      </c>
      <c r="B115" s="60" t="s">
        <v>570</v>
      </c>
      <c r="C115" s="61" t="s">
        <v>700</v>
      </c>
      <c r="D115" s="13" t="s">
        <v>797</v>
      </c>
      <c r="E115" s="15" t="s">
        <v>798</v>
      </c>
      <c r="F115" s="15" t="s">
        <v>799</v>
      </c>
      <c r="G115" s="15" t="s">
        <v>800</v>
      </c>
      <c r="H115" s="15" t="s">
        <v>801</v>
      </c>
      <c r="I115" s="59" t="s">
        <v>166</v>
      </c>
      <c r="J115" s="10" t="s">
        <v>802</v>
      </c>
      <c r="K115" s="62" t="s">
        <v>803</v>
      </c>
      <c r="L115" s="15" t="s">
        <v>694</v>
      </c>
    </row>
    <row r="116" ht="14.25" customHeight="1">
      <c r="A116" s="30">
        <v>44.0</v>
      </c>
      <c r="B116" s="31" t="s">
        <v>570</v>
      </c>
      <c r="C116" s="32" t="s">
        <v>700</v>
      </c>
      <c r="D116" s="33" t="s">
        <v>804</v>
      </c>
      <c r="E116" s="34" t="s">
        <v>805</v>
      </c>
      <c r="F116" s="34" t="s">
        <v>806</v>
      </c>
      <c r="G116" s="34" t="s">
        <v>807</v>
      </c>
      <c r="H116" s="34" t="s">
        <v>747</v>
      </c>
      <c r="I116" s="30" t="s">
        <v>401</v>
      </c>
      <c r="J116" s="35" t="s">
        <v>175</v>
      </c>
      <c r="K116" s="36" t="s">
        <v>808</v>
      </c>
      <c r="L116" s="34" t="s">
        <v>403</v>
      </c>
    </row>
    <row r="117" ht="14.25" customHeight="1">
      <c r="A117" s="30">
        <v>45.0</v>
      </c>
      <c r="B117" s="31" t="s">
        <v>570</v>
      </c>
      <c r="C117" s="32" t="s">
        <v>700</v>
      </c>
      <c r="D117" s="33" t="s">
        <v>809</v>
      </c>
      <c r="E117" s="34" t="s">
        <v>810</v>
      </c>
      <c r="F117" s="34" t="s">
        <v>811</v>
      </c>
      <c r="G117" s="34" t="s">
        <v>812</v>
      </c>
      <c r="H117" s="34" t="s">
        <v>796</v>
      </c>
      <c r="I117" s="30" t="s">
        <v>401</v>
      </c>
      <c r="J117" s="35" t="s">
        <v>175</v>
      </c>
      <c r="K117" s="36" t="s">
        <v>813</v>
      </c>
      <c r="L117" s="34" t="s">
        <v>403</v>
      </c>
    </row>
    <row r="118" ht="14.25" customHeight="1">
      <c r="A118" s="30">
        <v>46.0</v>
      </c>
      <c r="B118" s="31" t="s">
        <v>570</v>
      </c>
      <c r="C118" s="32" t="s">
        <v>700</v>
      </c>
      <c r="D118" s="33" t="s">
        <v>814</v>
      </c>
      <c r="E118" s="34" t="s">
        <v>815</v>
      </c>
      <c r="F118" s="34" t="s">
        <v>816</v>
      </c>
      <c r="G118" s="34" t="s">
        <v>817</v>
      </c>
      <c r="H118" s="34" t="s">
        <v>818</v>
      </c>
      <c r="I118" s="30" t="s">
        <v>401</v>
      </c>
      <c r="J118" s="35" t="s">
        <v>175</v>
      </c>
      <c r="K118" s="36" t="s">
        <v>819</v>
      </c>
      <c r="L118" s="34" t="s">
        <v>403</v>
      </c>
    </row>
    <row r="119" ht="14.25" customHeight="1">
      <c r="A119" s="70">
        <v>47.0</v>
      </c>
      <c r="B119" s="71" t="s">
        <v>570</v>
      </c>
      <c r="C119" s="72" t="s">
        <v>700</v>
      </c>
      <c r="D119" s="73" t="s">
        <v>820</v>
      </c>
      <c r="E119" s="74" t="s">
        <v>821</v>
      </c>
      <c r="F119" s="75" t="s">
        <v>822</v>
      </c>
      <c r="G119" s="75" t="s">
        <v>823</v>
      </c>
      <c r="H119" s="75" t="s">
        <v>763</v>
      </c>
      <c r="I119" s="70" t="s">
        <v>401</v>
      </c>
      <c r="J119" s="78" t="s">
        <v>175</v>
      </c>
      <c r="K119" s="76" t="s">
        <v>824</v>
      </c>
      <c r="L119" s="75" t="s">
        <v>403</v>
      </c>
      <c r="M119" s="77"/>
      <c r="N119" s="77"/>
      <c r="O119" s="77"/>
      <c r="P119" s="77"/>
      <c r="Q119" s="77"/>
      <c r="R119" s="77"/>
      <c r="S119" s="77"/>
      <c r="T119" s="77"/>
      <c r="U119" s="77"/>
      <c r="V119" s="77"/>
      <c r="W119" s="77"/>
      <c r="X119" s="77"/>
      <c r="Y119" s="77"/>
      <c r="Z119" s="77"/>
    </row>
    <row r="120" ht="14.25" customHeight="1">
      <c r="A120" s="23">
        <v>48.0</v>
      </c>
      <c r="B120" s="24" t="s">
        <v>570</v>
      </c>
      <c r="C120" s="25" t="s">
        <v>825</v>
      </c>
      <c r="D120" s="26" t="s">
        <v>826</v>
      </c>
      <c r="E120" s="27" t="s">
        <v>827</v>
      </c>
      <c r="F120" s="27" t="s">
        <v>828</v>
      </c>
      <c r="G120" s="27" t="s">
        <v>829</v>
      </c>
      <c r="H120" s="27" t="s">
        <v>830</v>
      </c>
      <c r="I120" s="23" t="s">
        <v>166</v>
      </c>
      <c r="J120" s="23" t="s">
        <v>167</v>
      </c>
      <c r="K120" s="29"/>
      <c r="L120" s="27" t="s">
        <v>310</v>
      </c>
    </row>
    <row r="121" ht="14.25" customHeight="1">
      <c r="A121" s="37">
        <v>49.0</v>
      </c>
      <c r="B121" s="38" t="s">
        <v>570</v>
      </c>
      <c r="C121" s="39" t="s">
        <v>825</v>
      </c>
      <c r="D121" s="40" t="s">
        <v>831</v>
      </c>
      <c r="E121" s="41" t="s">
        <v>832</v>
      </c>
      <c r="F121" s="41" t="s">
        <v>833</v>
      </c>
      <c r="G121" s="41" t="s">
        <v>834</v>
      </c>
      <c r="H121" s="41" t="s">
        <v>835</v>
      </c>
      <c r="I121" s="37" t="s">
        <v>166</v>
      </c>
      <c r="J121" s="42" t="s">
        <v>188</v>
      </c>
      <c r="K121" s="43" t="s">
        <v>836</v>
      </c>
      <c r="L121" s="41" t="s">
        <v>338</v>
      </c>
    </row>
    <row r="122" ht="14.25" customHeight="1">
      <c r="A122" s="45">
        <v>50.0</v>
      </c>
      <c r="B122" s="46" t="s">
        <v>570</v>
      </c>
      <c r="C122" s="47" t="s">
        <v>825</v>
      </c>
      <c r="D122" s="19" t="s">
        <v>837</v>
      </c>
      <c r="E122" s="20" t="s">
        <v>838</v>
      </c>
      <c r="F122" s="20" t="s">
        <v>839</v>
      </c>
      <c r="G122" s="20" t="s">
        <v>840</v>
      </c>
      <c r="H122" s="20" t="s">
        <v>841</v>
      </c>
      <c r="I122" s="45" t="s">
        <v>166</v>
      </c>
      <c r="J122" s="45" t="s">
        <v>167</v>
      </c>
      <c r="K122" s="49"/>
      <c r="L122" s="20" t="s">
        <v>338</v>
      </c>
    </row>
    <row r="123" ht="14.25" customHeight="1">
      <c r="A123" s="37">
        <v>51.0</v>
      </c>
      <c r="B123" s="38" t="s">
        <v>570</v>
      </c>
      <c r="C123" s="39" t="s">
        <v>825</v>
      </c>
      <c r="D123" s="40" t="s">
        <v>842</v>
      </c>
      <c r="E123" s="41" t="s">
        <v>843</v>
      </c>
      <c r="F123" s="41" t="s">
        <v>844</v>
      </c>
      <c r="G123" s="41" t="s">
        <v>845</v>
      </c>
      <c r="H123" s="41" t="s">
        <v>846</v>
      </c>
      <c r="I123" s="37" t="s">
        <v>166</v>
      </c>
      <c r="J123" s="42" t="s">
        <v>188</v>
      </c>
      <c r="K123" s="43" t="s">
        <v>847</v>
      </c>
      <c r="L123" s="41" t="s">
        <v>631</v>
      </c>
    </row>
    <row r="124" ht="14.25" customHeight="1">
      <c r="A124" s="45">
        <v>52.0</v>
      </c>
      <c r="B124" s="46" t="s">
        <v>570</v>
      </c>
      <c r="C124" s="47" t="s">
        <v>825</v>
      </c>
      <c r="D124" s="19" t="s">
        <v>848</v>
      </c>
      <c r="E124" s="20" t="s">
        <v>849</v>
      </c>
      <c r="F124" s="20" t="s">
        <v>850</v>
      </c>
      <c r="G124" s="20" t="s">
        <v>851</v>
      </c>
      <c r="H124" s="20" t="s">
        <v>852</v>
      </c>
      <c r="I124" s="45" t="s">
        <v>166</v>
      </c>
      <c r="J124" s="45" t="s">
        <v>167</v>
      </c>
      <c r="K124" s="49"/>
      <c r="L124" s="20" t="s">
        <v>853</v>
      </c>
    </row>
    <row r="125" ht="14.25" customHeight="1">
      <c r="A125" s="63">
        <v>53.0</v>
      </c>
      <c r="B125" s="64" t="s">
        <v>570</v>
      </c>
      <c r="C125" s="65" t="s">
        <v>825</v>
      </c>
      <c r="D125" s="66" t="s">
        <v>854</v>
      </c>
      <c r="E125" s="67" t="s">
        <v>855</v>
      </c>
      <c r="F125" s="67" t="s">
        <v>856</v>
      </c>
      <c r="G125" s="67" t="s">
        <v>857</v>
      </c>
      <c r="H125" s="67" t="s">
        <v>858</v>
      </c>
      <c r="I125" s="63" t="s">
        <v>166</v>
      </c>
      <c r="J125" s="68" t="s">
        <v>590</v>
      </c>
      <c r="K125" s="69" t="s">
        <v>859</v>
      </c>
      <c r="L125" s="67" t="s">
        <v>323</v>
      </c>
    </row>
    <row r="126" ht="14.25" customHeight="1">
      <c r="A126" s="45">
        <v>54.0</v>
      </c>
      <c r="B126" s="46" t="s">
        <v>570</v>
      </c>
      <c r="C126" s="47" t="s">
        <v>825</v>
      </c>
      <c r="D126" s="19" t="s">
        <v>860</v>
      </c>
      <c r="E126" s="20" t="s">
        <v>861</v>
      </c>
      <c r="F126" s="20" t="s">
        <v>862</v>
      </c>
      <c r="G126" s="20" t="s">
        <v>863</v>
      </c>
      <c r="H126" s="20" t="s">
        <v>699</v>
      </c>
      <c r="I126" s="45" t="s">
        <v>166</v>
      </c>
      <c r="J126" s="45" t="s">
        <v>167</v>
      </c>
      <c r="K126" s="49"/>
      <c r="L126" s="20" t="s">
        <v>631</v>
      </c>
    </row>
    <row r="127" ht="14.25" customHeight="1">
      <c r="A127" s="70">
        <v>55.0</v>
      </c>
      <c r="B127" s="71" t="s">
        <v>570</v>
      </c>
      <c r="C127" s="72" t="s">
        <v>825</v>
      </c>
      <c r="D127" s="73" t="s">
        <v>864</v>
      </c>
      <c r="E127" s="75" t="s">
        <v>865</v>
      </c>
      <c r="F127" s="75" t="s">
        <v>866</v>
      </c>
      <c r="G127" s="75" t="s">
        <v>867</v>
      </c>
      <c r="H127" s="75" t="s">
        <v>868</v>
      </c>
      <c r="I127" s="70" t="s">
        <v>166</v>
      </c>
      <c r="J127" s="78" t="s">
        <v>188</v>
      </c>
      <c r="K127" s="76" t="s">
        <v>869</v>
      </c>
      <c r="L127" s="75" t="s">
        <v>200</v>
      </c>
      <c r="M127" s="77"/>
      <c r="N127" s="77"/>
      <c r="O127" s="77"/>
      <c r="P127" s="77"/>
      <c r="Q127" s="77"/>
      <c r="R127" s="77"/>
      <c r="S127" s="77"/>
      <c r="T127" s="77"/>
      <c r="U127" s="77"/>
      <c r="V127" s="77"/>
      <c r="W127" s="77"/>
      <c r="X127" s="77"/>
      <c r="Y127" s="77"/>
      <c r="Z127" s="77"/>
    </row>
    <row r="128" ht="14.25" customHeight="1">
      <c r="A128" s="37">
        <v>56.0</v>
      </c>
      <c r="B128" s="38" t="s">
        <v>570</v>
      </c>
      <c r="C128" s="39" t="s">
        <v>825</v>
      </c>
      <c r="D128" s="40" t="s">
        <v>870</v>
      </c>
      <c r="E128" s="44" t="s">
        <v>871</v>
      </c>
      <c r="F128" s="41" t="s">
        <v>872</v>
      </c>
      <c r="G128" s="41" t="s">
        <v>873</v>
      </c>
      <c r="H128" s="41" t="s">
        <v>874</v>
      </c>
      <c r="I128" s="37" t="s">
        <v>166</v>
      </c>
      <c r="J128" s="42" t="s">
        <v>188</v>
      </c>
      <c r="K128" s="43" t="s">
        <v>875</v>
      </c>
      <c r="L128" s="41" t="s">
        <v>876</v>
      </c>
    </row>
    <row r="129" ht="14.25" customHeight="1">
      <c r="A129" s="45">
        <v>57.0</v>
      </c>
      <c r="B129" s="46" t="s">
        <v>570</v>
      </c>
      <c r="C129" s="47" t="s">
        <v>825</v>
      </c>
      <c r="D129" s="19" t="s">
        <v>877</v>
      </c>
      <c r="E129" s="48" t="s">
        <v>878</v>
      </c>
      <c r="F129" s="20" t="s">
        <v>879</v>
      </c>
      <c r="G129" s="20" t="s">
        <v>880</v>
      </c>
      <c r="H129" s="20" t="s">
        <v>881</v>
      </c>
      <c r="I129" s="45" t="s">
        <v>166</v>
      </c>
      <c r="J129" s="45" t="s">
        <v>167</v>
      </c>
      <c r="K129" s="49"/>
      <c r="L129" s="20" t="s">
        <v>462</v>
      </c>
    </row>
    <row r="130" ht="14.25" customHeight="1">
      <c r="A130" s="45">
        <v>58.0</v>
      </c>
      <c r="B130" s="46" t="s">
        <v>570</v>
      </c>
      <c r="C130" s="47" t="s">
        <v>825</v>
      </c>
      <c r="D130" s="19" t="s">
        <v>882</v>
      </c>
      <c r="E130" s="48" t="s">
        <v>883</v>
      </c>
      <c r="F130" s="20" t="s">
        <v>884</v>
      </c>
      <c r="G130" s="20" t="s">
        <v>885</v>
      </c>
      <c r="H130" s="20" t="s">
        <v>886</v>
      </c>
      <c r="I130" s="45" t="s">
        <v>166</v>
      </c>
      <c r="J130" s="45" t="s">
        <v>167</v>
      </c>
      <c r="K130" s="49"/>
      <c r="L130" s="20" t="s">
        <v>462</v>
      </c>
    </row>
    <row r="131" ht="14.25" customHeight="1">
      <c r="A131" s="63">
        <v>59.0</v>
      </c>
      <c r="B131" s="64" t="s">
        <v>570</v>
      </c>
      <c r="C131" s="65" t="s">
        <v>825</v>
      </c>
      <c r="D131" s="66" t="s">
        <v>887</v>
      </c>
      <c r="E131" s="67" t="s">
        <v>888</v>
      </c>
      <c r="F131" s="67" t="s">
        <v>889</v>
      </c>
      <c r="G131" s="67" t="s">
        <v>890</v>
      </c>
      <c r="H131" s="67" t="s">
        <v>891</v>
      </c>
      <c r="I131" s="63" t="s">
        <v>166</v>
      </c>
      <c r="J131" s="68" t="s">
        <v>590</v>
      </c>
      <c r="K131" s="69" t="s">
        <v>892</v>
      </c>
      <c r="L131" s="67" t="s">
        <v>297</v>
      </c>
    </row>
    <row r="132" ht="14.25" customHeight="1">
      <c r="A132" s="30">
        <v>60.0</v>
      </c>
      <c r="B132" s="31" t="s">
        <v>570</v>
      </c>
      <c r="C132" s="32" t="s">
        <v>825</v>
      </c>
      <c r="D132" s="33" t="s">
        <v>893</v>
      </c>
      <c r="E132" s="50" t="s">
        <v>894</v>
      </c>
      <c r="F132" s="34" t="s">
        <v>895</v>
      </c>
      <c r="G132" s="34" t="s">
        <v>896</v>
      </c>
      <c r="H132" s="34" t="s">
        <v>897</v>
      </c>
      <c r="I132" s="30" t="s">
        <v>166</v>
      </c>
      <c r="J132" s="35" t="s">
        <v>175</v>
      </c>
      <c r="K132" s="36" t="s">
        <v>898</v>
      </c>
      <c r="L132" s="34" t="s">
        <v>297</v>
      </c>
    </row>
    <row r="133" ht="14.25" customHeight="1">
      <c r="A133" s="45">
        <v>61.0</v>
      </c>
      <c r="B133" s="46" t="s">
        <v>570</v>
      </c>
      <c r="C133" s="47" t="s">
        <v>825</v>
      </c>
      <c r="D133" s="19" t="s">
        <v>899</v>
      </c>
      <c r="E133" s="48" t="s">
        <v>900</v>
      </c>
      <c r="F133" s="20" t="s">
        <v>901</v>
      </c>
      <c r="G133" s="20" t="s">
        <v>902</v>
      </c>
      <c r="H133" s="20" t="s">
        <v>518</v>
      </c>
      <c r="I133" s="45" t="s">
        <v>166</v>
      </c>
      <c r="J133" s="45" t="s">
        <v>167</v>
      </c>
      <c r="K133" s="49"/>
      <c r="L133" s="20" t="s">
        <v>169</v>
      </c>
    </row>
    <row r="134" ht="14.25" customHeight="1">
      <c r="A134" s="37">
        <v>62.0</v>
      </c>
      <c r="B134" s="38" t="s">
        <v>570</v>
      </c>
      <c r="C134" s="39" t="s">
        <v>825</v>
      </c>
      <c r="D134" s="40" t="s">
        <v>903</v>
      </c>
      <c r="E134" s="44" t="s">
        <v>904</v>
      </c>
      <c r="F134" s="41" t="s">
        <v>905</v>
      </c>
      <c r="G134" s="41" t="s">
        <v>906</v>
      </c>
      <c r="H134" s="41" t="s">
        <v>763</v>
      </c>
      <c r="I134" s="37" t="s">
        <v>166</v>
      </c>
      <c r="J134" s="42" t="s">
        <v>188</v>
      </c>
      <c r="K134" s="43" t="s">
        <v>907</v>
      </c>
      <c r="L134" s="41" t="s">
        <v>428</v>
      </c>
    </row>
    <row r="135" ht="14.25" customHeight="1">
      <c r="A135" s="37">
        <v>63.0</v>
      </c>
      <c r="B135" s="38" t="s">
        <v>570</v>
      </c>
      <c r="C135" s="39" t="s">
        <v>825</v>
      </c>
      <c r="D135" s="40" t="s">
        <v>908</v>
      </c>
      <c r="E135" s="44" t="s">
        <v>909</v>
      </c>
      <c r="F135" s="41" t="s">
        <v>910</v>
      </c>
      <c r="G135" s="41" t="s">
        <v>911</v>
      </c>
      <c r="H135" s="41" t="s">
        <v>747</v>
      </c>
      <c r="I135" s="37" t="s">
        <v>166</v>
      </c>
      <c r="J135" s="42" t="s">
        <v>188</v>
      </c>
      <c r="K135" s="43" t="s">
        <v>912</v>
      </c>
      <c r="L135" s="41" t="s">
        <v>557</v>
      </c>
    </row>
    <row r="136" ht="14.25" customHeight="1">
      <c r="A136" s="37">
        <v>64.0</v>
      </c>
      <c r="B136" s="38" t="s">
        <v>570</v>
      </c>
      <c r="C136" s="39" t="s">
        <v>825</v>
      </c>
      <c r="D136" s="40" t="s">
        <v>913</v>
      </c>
      <c r="E136" s="44" t="s">
        <v>914</v>
      </c>
      <c r="F136" s="41" t="s">
        <v>915</v>
      </c>
      <c r="G136" s="41" t="s">
        <v>916</v>
      </c>
      <c r="H136" s="41" t="s">
        <v>917</v>
      </c>
      <c r="I136" s="37" t="s">
        <v>166</v>
      </c>
      <c r="J136" s="42" t="s">
        <v>188</v>
      </c>
      <c r="K136" s="43" t="s">
        <v>918</v>
      </c>
      <c r="L136" s="41" t="s">
        <v>919</v>
      </c>
    </row>
    <row r="137" ht="14.25" customHeight="1">
      <c r="A137" s="45">
        <v>65.0</v>
      </c>
      <c r="B137" s="46" t="s">
        <v>570</v>
      </c>
      <c r="C137" s="47" t="s">
        <v>825</v>
      </c>
      <c r="D137" s="19" t="s">
        <v>920</v>
      </c>
      <c r="E137" s="48" t="s">
        <v>921</v>
      </c>
      <c r="F137" s="20" t="s">
        <v>922</v>
      </c>
      <c r="G137" s="20" t="s">
        <v>923</v>
      </c>
      <c r="H137" s="20" t="s">
        <v>527</v>
      </c>
      <c r="I137" s="45" t="s">
        <v>166</v>
      </c>
      <c r="J137" s="45" t="s">
        <v>167</v>
      </c>
      <c r="K137" s="49"/>
      <c r="L137" s="20" t="s">
        <v>513</v>
      </c>
    </row>
    <row r="138" ht="14.25" customHeight="1">
      <c r="A138" s="45">
        <v>66.0</v>
      </c>
      <c r="B138" s="46" t="s">
        <v>570</v>
      </c>
      <c r="C138" s="47" t="s">
        <v>825</v>
      </c>
      <c r="D138" s="19" t="s">
        <v>924</v>
      </c>
      <c r="E138" s="48" t="s">
        <v>925</v>
      </c>
      <c r="F138" s="20" t="s">
        <v>926</v>
      </c>
      <c r="G138" s="20" t="s">
        <v>927</v>
      </c>
      <c r="H138" s="20" t="s">
        <v>763</v>
      </c>
      <c r="I138" s="45" t="s">
        <v>166</v>
      </c>
      <c r="J138" s="45" t="s">
        <v>167</v>
      </c>
      <c r="K138" s="49"/>
      <c r="L138" s="20" t="s">
        <v>513</v>
      </c>
    </row>
    <row r="139" ht="14.25" customHeight="1">
      <c r="A139" s="45">
        <v>67.0</v>
      </c>
      <c r="B139" s="46" t="s">
        <v>570</v>
      </c>
      <c r="C139" s="47" t="s">
        <v>825</v>
      </c>
      <c r="D139" s="19" t="s">
        <v>928</v>
      </c>
      <c r="E139" s="48" t="s">
        <v>929</v>
      </c>
      <c r="F139" s="20" t="s">
        <v>872</v>
      </c>
      <c r="G139" s="20" t="s">
        <v>930</v>
      </c>
      <c r="H139" s="20" t="s">
        <v>518</v>
      </c>
      <c r="I139" s="45" t="s">
        <v>166</v>
      </c>
      <c r="J139" s="45" t="s">
        <v>167</v>
      </c>
      <c r="K139" s="49"/>
      <c r="L139" s="20" t="s">
        <v>200</v>
      </c>
    </row>
    <row r="140" ht="14.25" customHeight="1">
      <c r="A140" s="45">
        <v>68.0</v>
      </c>
      <c r="B140" s="46" t="s">
        <v>570</v>
      </c>
      <c r="C140" s="47" t="s">
        <v>825</v>
      </c>
      <c r="D140" s="19" t="s">
        <v>931</v>
      </c>
      <c r="E140" s="20" t="s">
        <v>932</v>
      </c>
      <c r="F140" s="20" t="s">
        <v>933</v>
      </c>
      <c r="G140" s="20" t="s">
        <v>934</v>
      </c>
      <c r="H140" s="20" t="s">
        <v>935</v>
      </c>
      <c r="I140" s="45" t="s">
        <v>166</v>
      </c>
      <c r="J140" s="45" t="s">
        <v>167</v>
      </c>
      <c r="K140" s="49"/>
      <c r="L140" s="20" t="s">
        <v>535</v>
      </c>
    </row>
    <row r="141" ht="14.25" customHeight="1">
      <c r="A141" s="45">
        <v>69.0</v>
      </c>
      <c r="B141" s="46" t="s">
        <v>570</v>
      </c>
      <c r="C141" s="47" t="s">
        <v>825</v>
      </c>
      <c r="D141" s="19" t="s">
        <v>936</v>
      </c>
      <c r="E141" s="20" t="s">
        <v>937</v>
      </c>
      <c r="F141" s="20" t="s">
        <v>938</v>
      </c>
      <c r="G141" s="20" t="s">
        <v>939</v>
      </c>
      <c r="H141" s="20" t="s">
        <v>940</v>
      </c>
      <c r="I141" s="45" t="s">
        <v>166</v>
      </c>
      <c r="J141" s="45" t="s">
        <v>167</v>
      </c>
      <c r="K141" s="49" t="s">
        <v>941</v>
      </c>
      <c r="L141" s="20" t="s">
        <v>694</v>
      </c>
    </row>
    <row r="142" ht="14.25" customHeight="1">
      <c r="A142" s="45">
        <v>70.0</v>
      </c>
      <c r="B142" s="46" t="s">
        <v>570</v>
      </c>
      <c r="C142" s="47" t="s">
        <v>825</v>
      </c>
      <c r="D142" s="19" t="s">
        <v>942</v>
      </c>
      <c r="E142" s="20" t="s">
        <v>943</v>
      </c>
      <c r="F142" s="20" t="s">
        <v>944</v>
      </c>
      <c r="G142" s="20" t="s">
        <v>945</v>
      </c>
      <c r="H142" s="20" t="s">
        <v>946</v>
      </c>
      <c r="I142" s="45" t="s">
        <v>166</v>
      </c>
      <c r="J142" s="45" t="s">
        <v>167</v>
      </c>
      <c r="K142" s="49"/>
      <c r="L142" s="20" t="s">
        <v>563</v>
      </c>
    </row>
    <row r="143" ht="14.25" customHeight="1"/>
    <row r="144" ht="14.25" customHeight="1">
      <c r="A144" s="80" t="s">
        <v>947</v>
      </c>
    </row>
    <row r="145" ht="14.25" customHeight="1">
      <c r="A145" s="81" t="s">
        <v>175</v>
      </c>
      <c r="B145" s="82"/>
      <c r="C145" s="83" t="s">
        <v>948</v>
      </c>
    </row>
    <row r="146" ht="14.25" customHeight="1">
      <c r="A146" s="84" t="s">
        <v>188</v>
      </c>
      <c r="B146" s="82"/>
      <c r="C146" s="83" t="s">
        <v>949</v>
      </c>
    </row>
    <row r="147" ht="14.25" customHeight="1">
      <c r="A147" s="85" t="s">
        <v>590</v>
      </c>
      <c r="B147" s="82"/>
      <c r="C147" s="83" t="s">
        <v>950</v>
      </c>
    </row>
    <row r="148" ht="14.25" customHeight="1">
      <c r="A148" s="86" t="s">
        <v>802</v>
      </c>
      <c r="B148" s="82"/>
      <c r="C148" s="83" t="s">
        <v>951</v>
      </c>
    </row>
    <row r="149" ht="14.25" customHeight="1">
      <c r="A149" s="86" t="s">
        <v>499</v>
      </c>
      <c r="B149" s="82"/>
      <c r="C149" s="83" t="s">
        <v>952</v>
      </c>
    </row>
    <row r="150" ht="14.25" customHeight="1">
      <c r="A150" s="87" t="s">
        <v>167</v>
      </c>
      <c r="B150" s="82"/>
      <c r="C150" s="83" t="s">
        <v>953</v>
      </c>
    </row>
    <row r="151" ht="14.25" customHeight="1">
      <c r="E151" s="88" t="s">
        <v>954</v>
      </c>
    </row>
    <row r="152" ht="14.25" customHeight="1">
      <c r="E152" s="88" t="s">
        <v>955</v>
      </c>
    </row>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3:$L$142"/>
  <mergeCells count="8">
    <mergeCell ref="A1:L1"/>
    <mergeCell ref="I2:L2"/>
    <mergeCell ref="A145:B145"/>
    <mergeCell ref="A146:B146"/>
    <mergeCell ref="A147:B147"/>
    <mergeCell ref="A148:B148"/>
    <mergeCell ref="A149:B149"/>
    <mergeCell ref="A150:B15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0"/>
    <col customWidth="1" min="2" max="2" width="26.0"/>
    <col customWidth="1" min="3" max="3" width="38.0"/>
    <col customWidth="1" min="4" max="4" width="52.0"/>
    <col customWidth="1" min="5" max="5" width="58.0"/>
    <col customWidth="1" min="6" max="6" width="44.0"/>
    <col customWidth="1" min="7" max="7" width="50.0"/>
    <col customWidth="1" min="8" max="26" width="8.71"/>
  </cols>
  <sheetData>
    <row r="1" ht="30.0" customHeight="1">
      <c r="A1" s="1" t="s">
        <v>0</v>
      </c>
      <c r="B1" s="3"/>
      <c r="C1" s="3"/>
      <c r="D1" s="3"/>
      <c r="E1" s="3"/>
      <c r="F1" s="3"/>
      <c r="G1" s="4"/>
    </row>
    <row r="2" ht="18.0" customHeight="1">
      <c r="A2" s="5" t="s">
        <v>3</v>
      </c>
      <c r="B2" s="7"/>
      <c r="C2" s="7"/>
      <c r="D2" s="7"/>
      <c r="E2" s="7"/>
      <c r="F2" s="7"/>
      <c r="G2" s="7"/>
    </row>
    <row r="3" ht="30.0" customHeight="1">
      <c r="A3" s="9" t="s">
        <v>6</v>
      </c>
      <c r="B3" s="9" t="s">
        <v>9</v>
      </c>
      <c r="C3" s="9" t="s">
        <v>7</v>
      </c>
      <c r="D3" s="9" t="s">
        <v>12</v>
      </c>
      <c r="E3" s="9" t="s">
        <v>14</v>
      </c>
      <c r="F3" s="9" t="s">
        <v>16</v>
      </c>
      <c r="G3" s="9" t="s">
        <v>17</v>
      </c>
    </row>
    <row r="4" ht="14.25" customHeight="1">
      <c r="A4" s="12" t="s">
        <v>20</v>
      </c>
      <c r="B4" s="14" t="s">
        <v>22</v>
      </c>
      <c r="C4" s="16" t="s">
        <v>24</v>
      </c>
      <c r="D4" s="14" t="s">
        <v>27</v>
      </c>
      <c r="E4" s="14" t="s">
        <v>28</v>
      </c>
      <c r="F4" s="14" t="s">
        <v>30</v>
      </c>
      <c r="G4" s="14" t="s">
        <v>32</v>
      </c>
    </row>
    <row r="5" ht="14.25" customHeight="1">
      <c r="A5" s="12" t="s">
        <v>35</v>
      </c>
      <c r="B5" s="14" t="s">
        <v>36</v>
      </c>
      <c r="C5" s="16" t="s">
        <v>39</v>
      </c>
      <c r="D5" s="14" t="s">
        <v>41</v>
      </c>
      <c r="E5" s="14" t="s">
        <v>43</v>
      </c>
      <c r="F5" s="14" t="s">
        <v>44</v>
      </c>
      <c r="G5" s="14" t="s">
        <v>45</v>
      </c>
    </row>
    <row r="6" ht="14.25" customHeight="1">
      <c r="A6" s="12" t="s">
        <v>47</v>
      </c>
      <c r="B6" s="14" t="s">
        <v>48</v>
      </c>
      <c r="C6" s="16" t="s">
        <v>49</v>
      </c>
      <c r="D6" s="14" t="s">
        <v>51</v>
      </c>
      <c r="E6" s="14" t="s">
        <v>52</v>
      </c>
      <c r="F6" s="14" t="s">
        <v>53</v>
      </c>
      <c r="G6" s="14" t="s">
        <v>54</v>
      </c>
    </row>
    <row r="7" ht="14.25" customHeight="1">
      <c r="A7" s="12" t="s">
        <v>61</v>
      </c>
      <c r="B7" s="14" t="s">
        <v>63</v>
      </c>
      <c r="C7" s="16" t="s">
        <v>65</v>
      </c>
      <c r="D7" s="14" t="s">
        <v>67</v>
      </c>
      <c r="E7" s="14" t="s">
        <v>69</v>
      </c>
      <c r="F7" s="14" t="s">
        <v>71</v>
      </c>
      <c r="G7" s="14" t="s">
        <v>73</v>
      </c>
    </row>
    <row r="8" ht="14.25" customHeight="1">
      <c r="A8" s="12" t="s">
        <v>75</v>
      </c>
      <c r="B8" s="14" t="s">
        <v>77</v>
      </c>
      <c r="C8" s="16" t="s">
        <v>78</v>
      </c>
      <c r="D8" s="14" t="s">
        <v>79</v>
      </c>
      <c r="E8" s="14" t="s">
        <v>82</v>
      </c>
      <c r="F8" s="14" t="s">
        <v>83</v>
      </c>
      <c r="G8" s="14" t="s">
        <v>84</v>
      </c>
    </row>
    <row r="9" ht="14.25" customHeight="1">
      <c r="A9" s="12" t="s">
        <v>86</v>
      </c>
      <c r="B9" s="14" t="s">
        <v>87</v>
      </c>
      <c r="C9" s="16" t="s">
        <v>88</v>
      </c>
      <c r="D9" s="14" t="s">
        <v>90</v>
      </c>
      <c r="E9" s="14" t="s">
        <v>91</v>
      </c>
      <c r="F9" s="14" t="s">
        <v>93</v>
      </c>
      <c r="G9" s="14" t="s">
        <v>94</v>
      </c>
    </row>
    <row r="10" ht="14.25" customHeight="1">
      <c r="A10" s="12" t="s">
        <v>97</v>
      </c>
      <c r="B10" s="14" t="s">
        <v>87</v>
      </c>
      <c r="C10" s="16" t="s">
        <v>102</v>
      </c>
      <c r="D10" s="14" t="s">
        <v>103</v>
      </c>
      <c r="E10" s="14" t="s">
        <v>105</v>
      </c>
      <c r="F10" s="14" t="s">
        <v>108</v>
      </c>
      <c r="G10" s="14" t="s">
        <v>109</v>
      </c>
    </row>
    <row r="11" ht="14.25" customHeight="1">
      <c r="A11" s="12" t="s">
        <v>110</v>
      </c>
      <c r="B11" s="14" t="s">
        <v>111</v>
      </c>
      <c r="C11" s="16" t="s">
        <v>112</v>
      </c>
      <c r="D11" s="14" t="s">
        <v>113</v>
      </c>
      <c r="E11" s="14" t="s">
        <v>114</v>
      </c>
      <c r="F11" s="14" t="s">
        <v>115</v>
      </c>
      <c r="G11" s="14" t="s">
        <v>116</v>
      </c>
    </row>
    <row r="12" ht="14.25" customHeight="1">
      <c r="A12" s="12" t="s">
        <v>117</v>
      </c>
      <c r="B12" s="14" t="s">
        <v>119</v>
      </c>
      <c r="C12" s="16" t="s">
        <v>120</v>
      </c>
      <c r="D12" s="14" t="s">
        <v>122</v>
      </c>
      <c r="E12" s="14" t="s">
        <v>124</v>
      </c>
      <c r="F12" s="14" t="s">
        <v>126</v>
      </c>
      <c r="G12" s="14" t="s">
        <v>128</v>
      </c>
    </row>
    <row r="13" ht="14.25" customHeight="1">
      <c r="A13" s="12" t="s">
        <v>129</v>
      </c>
      <c r="B13" s="14" t="s">
        <v>119</v>
      </c>
      <c r="C13" s="16" t="s">
        <v>130</v>
      </c>
      <c r="D13" s="14" t="s">
        <v>132</v>
      </c>
      <c r="E13" s="14" t="s">
        <v>124</v>
      </c>
      <c r="F13" s="14" t="s">
        <v>133</v>
      </c>
      <c r="G13" s="14" t="s">
        <v>134</v>
      </c>
    </row>
    <row r="14" ht="14.25" customHeight="1">
      <c r="A14" s="12" t="s">
        <v>135</v>
      </c>
      <c r="B14" s="14" t="s">
        <v>119</v>
      </c>
      <c r="C14" s="16" t="s">
        <v>136</v>
      </c>
      <c r="D14" s="14" t="s">
        <v>137</v>
      </c>
      <c r="E14" s="14" t="s">
        <v>124</v>
      </c>
      <c r="F14" s="14" t="s">
        <v>138</v>
      </c>
      <c r="G14" s="14" t="s">
        <v>139</v>
      </c>
    </row>
    <row r="15" ht="14.25" customHeight="1">
      <c r="A15" s="12" t="s">
        <v>140</v>
      </c>
      <c r="B15" s="14" t="s">
        <v>141</v>
      </c>
      <c r="C15" s="16" t="s">
        <v>142</v>
      </c>
      <c r="D15" s="14" t="s">
        <v>143</v>
      </c>
      <c r="E15" s="14" t="s">
        <v>144</v>
      </c>
      <c r="F15" s="14" t="s">
        <v>145</v>
      </c>
      <c r="G15" s="14" t="s">
        <v>146</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3:$G$15"/>
  <mergeCells count="2">
    <mergeCell ref="A1:G1"/>
    <mergeCell ref="A2:G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5.0"/>
    <col customWidth="1" min="2" max="2" width="30.0"/>
    <col customWidth="1" min="3" max="3" width="76.0"/>
    <col customWidth="1" min="4" max="4" width="22.0"/>
    <col customWidth="1" min="5" max="5" width="10.0"/>
    <col customWidth="1" min="6" max="6" width="28.0"/>
    <col customWidth="1" min="7" max="7" width="60.0"/>
    <col customWidth="1" min="8" max="26" width="8.71"/>
  </cols>
  <sheetData>
    <row r="1" ht="30.0" customHeight="1">
      <c r="A1" s="2" t="s">
        <v>1</v>
      </c>
      <c r="B1" s="3"/>
      <c r="C1" s="3"/>
      <c r="D1" s="3"/>
      <c r="E1" s="3"/>
      <c r="F1" s="3"/>
      <c r="G1" s="4"/>
    </row>
    <row r="2" ht="18.0" customHeight="1">
      <c r="A2" s="6" t="s">
        <v>4</v>
      </c>
    </row>
    <row r="3" ht="30.0" customHeight="1">
      <c r="A3" s="8" t="s">
        <v>5</v>
      </c>
      <c r="B3" s="8" t="s">
        <v>7</v>
      </c>
      <c r="C3" s="8" t="s">
        <v>8</v>
      </c>
      <c r="D3" s="8" t="s">
        <v>10</v>
      </c>
      <c r="E3" s="8" t="s">
        <v>11</v>
      </c>
      <c r="F3" s="8" t="s">
        <v>13</v>
      </c>
      <c r="G3" s="8" t="s">
        <v>15</v>
      </c>
    </row>
    <row r="4" ht="14.25" customHeight="1">
      <c r="A4" s="10" t="s">
        <v>18</v>
      </c>
      <c r="B4" s="13" t="s">
        <v>21</v>
      </c>
      <c r="C4" s="15" t="s">
        <v>23</v>
      </c>
      <c r="D4" s="15" t="s">
        <v>25</v>
      </c>
      <c r="E4" s="17" t="s">
        <v>26</v>
      </c>
      <c r="F4" s="15" t="s">
        <v>29</v>
      </c>
      <c r="G4" s="15" t="s">
        <v>31</v>
      </c>
    </row>
    <row r="5" ht="14.25" customHeight="1">
      <c r="A5" s="10" t="s">
        <v>33</v>
      </c>
      <c r="B5" s="13" t="s">
        <v>34</v>
      </c>
      <c r="C5" s="15" t="s">
        <v>37</v>
      </c>
      <c r="D5" s="15" t="s">
        <v>38</v>
      </c>
      <c r="E5" s="17" t="s">
        <v>26</v>
      </c>
      <c r="F5" s="15" t="s">
        <v>40</v>
      </c>
      <c r="G5" s="15" t="s">
        <v>42</v>
      </c>
    </row>
    <row r="6" ht="14.25" customHeight="1">
      <c r="A6" s="18" t="s">
        <v>46</v>
      </c>
      <c r="B6" s="19" t="s">
        <v>50</v>
      </c>
      <c r="C6" s="20" t="s">
        <v>55</v>
      </c>
      <c r="D6" s="20" t="s">
        <v>56</v>
      </c>
      <c r="E6" s="18" t="s">
        <v>57</v>
      </c>
      <c r="F6" s="20" t="s">
        <v>58</v>
      </c>
      <c r="G6" s="20" t="s">
        <v>59</v>
      </c>
    </row>
    <row r="7" ht="14.25" customHeight="1">
      <c r="A7" s="18" t="s">
        <v>60</v>
      </c>
      <c r="B7" s="19" t="s">
        <v>62</v>
      </c>
      <c r="C7" s="20" t="s">
        <v>66</v>
      </c>
      <c r="D7" s="20" t="s">
        <v>68</v>
      </c>
      <c r="E7" s="18" t="s">
        <v>57</v>
      </c>
      <c r="F7" s="20" t="s">
        <v>70</v>
      </c>
      <c r="G7" s="20" t="s">
        <v>72</v>
      </c>
    </row>
    <row r="8" ht="14.25" customHeight="1">
      <c r="A8" s="18" t="s">
        <v>74</v>
      </c>
      <c r="B8" s="19" t="s">
        <v>76</v>
      </c>
      <c r="C8" s="20" t="s">
        <v>80</v>
      </c>
      <c r="D8" s="20" t="s">
        <v>81</v>
      </c>
      <c r="E8" s="18" t="s">
        <v>57</v>
      </c>
      <c r="F8" s="20" t="s">
        <v>58</v>
      </c>
      <c r="G8" s="20" t="s">
        <v>85</v>
      </c>
    </row>
    <row r="9" ht="14.25" customHeight="1">
      <c r="A9" s="10" t="s">
        <v>89</v>
      </c>
      <c r="B9" s="13" t="s">
        <v>92</v>
      </c>
      <c r="C9" s="15" t="s">
        <v>95</v>
      </c>
      <c r="D9" s="15" t="s">
        <v>96</v>
      </c>
      <c r="E9" s="17" t="s">
        <v>26</v>
      </c>
      <c r="F9" s="15" t="s">
        <v>58</v>
      </c>
      <c r="G9" s="15" t="s">
        <v>98</v>
      </c>
    </row>
    <row r="10" ht="14.25" customHeight="1">
      <c r="A10" s="18" t="s">
        <v>99</v>
      </c>
      <c r="B10" s="19" t="s">
        <v>100</v>
      </c>
      <c r="C10" s="20" t="s">
        <v>101</v>
      </c>
      <c r="D10" s="20" t="s">
        <v>96</v>
      </c>
      <c r="E10" s="18" t="s">
        <v>57</v>
      </c>
      <c r="F10" s="20" t="s">
        <v>58</v>
      </c>
      <c r="G10" s="20" t="s">
        <v>104</v>
      </c>
    </row>
    <row r="11" ht="14.25" customHeight="1">
      <c r="A11" s="10" t="s">
        <v>107</v>
      </c>
      <c r="B11" s="13" t="s">
        <v>118</v>
      </c>
      <c r="C11" s="15" t="s">
        <v>121</v>
      </c>
      <c r="D11" s="15" t="s">
        <v>123</v>
      </c>
      <c r="E11" s="17" t="s">
        <v>26</v>
      </c>
      <c r="F11" s="15" t="s">
        <v>125</v>
      </c>
      <c r="G11" s="15" t="s">
        <v>127</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3:$G$11"/>
  <mergeCells count="2">
    <mergeCell ref="A1:G1"/>
    <mergeCell ref="A2:G2"/>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2026-09-21T08:26:00Z</dcterms:created>
  <dc:creator>openpyxl</dc:creator>
</cp:coreProperties>
</file>